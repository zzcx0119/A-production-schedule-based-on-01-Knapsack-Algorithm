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2_学习\编程\C++study\大作业数据\"/>
    </mc:Choice>
  </mc:AlternateContent>
  <xr:revisionPtr revIDLastSave="0" documentId="13_ncr:1_{B03EF9C0-9D74-4908-A4C3-7DD11B99376A}" xr6:coauthVersionLast="47" xr6:coauthVersionMax="47" xr10:uidLastSave="{00000000-0000-0000-0000-000000000000}"/>
  <bookViews>
    <workbookView xWindow="-108" yWindow="-108" windowWidth="23256" windowHeight="12456" tabRatio="221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6" i="1" l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DongLi</author>
  </authors>
  <commentList>
    <comment ref="AK3" authorId="0" shapeId="0" xr:uid="{00000000-0006-0000-0000-000001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L3" authorId="0" shapeId="0" xr:uid="{00000000-0006-0000-0000-000002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M3" authorId="0" shapeId="0" xr:uid="{00000000-0006-0000-0000-000003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P3" authorId="0" shapeId="0" xr:uid="{00000000-0006-0000-0000-000004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V3" authorId="0" shapeId="0" xr:uid="{00000000-0006-0000-0000-000005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C3" authorId="0" shapeId="0" xr:uid="{00000000-0006-0000-0000-000006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J3" authorId="0" shapeId="0" xr:uid="{00000000-0006-0000-0000-000007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Q3" authorId="0" shapeId="0" xr:uid="{00000000-0006-0000-0000-000008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X3" authorId="0" shapeId="0" xr:uid="{00000000-0006-0000-0000-000009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CE3" authorId="0" shapeId="0" xr:uid="{00000000-0006-0000-0000-00000A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CL3" authorId="0" shapeId="0" xr:uid="{00000000-0006-0000-0000-00000B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CS3" authorId="0" shapeId="0" xr:uid="{00000000-0006-0000-0000-00000C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<sst xmlns="http://schemas.openxmlformats.org/spreadsheetml/2006/main" count="106" uniqueCount="65">
  <si>
    <t>建龙5#高炉陶瓷杯项目生产进度表</t>
  </si>
  <si>
    <t>序号</t>
  </si>
  <si>
    <t>工作项目与内容</t>
  </si>
  <si>
    <t>材质</t>
  </si>
  <si>
    <t>砖数</t>
  </si>
  <si>
    <t>重量</t>
  </si>
  <si>
    <t>陶瓷垫砖</t>
  </si>
  <si>
    <t>JD00</t>
  </si>
  <si>
    <t>RL70MLC</t>
  </si>
  <si>
    <t>JD01</t>
  </si>
  <si>
    <t>JD02</t>
  </si>
  <si>
    <t>JD03</t>
  </si>
  <si>
    <t>JD04</t>
  </si>
  <si>
    <t>JD05</t>
  </si>
  <si>
    <t>JD06</t>
  </si>
  <si>
    <t>JD07</t>
  </si>
  <si>
    <t>JD08</t>
  </si>
  <si>
    <t>JD09</t>
  </si>
  <si>
    <t>陶瓷杯壁砖</t>
  </si>
  <si>
    <t>JB01</t>
  </si>
  <si>
    <t>RL89MLC</t>
  </si>
  <si>
    <t>JB02</t>
  </si>
  <si>
    <t>JB03R</t>
  </si>
  <si>
    <t>JB03L</t>
  </si>
  <si>
    <t>JB04R</t>
  </si>
  <si>
    <t>JB04L</t>
  </si>
  <si>
    <t>JB05R</t>
  </si>
  <si>
    <t>JB05L</t>
  </si>
  <si>
    <t>JB06</t>
  </si>
  <si>
    <t>JB07</t>
  </si>
  <si>
    <t>JB08</t>
  </si>
  <si>
    <t>JB09R</t>
  </si>
  <si>
    <t>JB09L</t>
  </si>
  <si>
    <t>JB10R</t>
  </si>
  <si>
    <t>JB10L</t>
  </si>
  <si>
    <t>JB11R</t>
  </si>
  <si>
    <t>JB11L</t>
  </si>
  <si>
    <t>JB12</t>
  </si>
  <si>
    <t>JB13</t>
  </si>
  <si>
    <t>JB14</t>
  </si>
  <si>
    <t>JB15R</t>
  </si>
  <si>
    <t>JB15L</t>
  </si>
  <si>
    <t>JB16</t>
  </si>
  <si>
    <t>JB17</t>
  </si>
  <si>
    <t>JB18</t>
  </si>
  <si>
    <t>JB19</t>
  </si>
  <si>
    <t>风口组合砖</t>
  </si>
  <si>
    <t>JF01</t>
  </si>
  <si>
    <t>JF02</t>
  </si>
  <si>
    <t>JF03</t>
  </si>
  <si>
    <t>JF04</t>
  </si>
  <si>
    <t>JF05</t>
  </si>
  <si>
    <t>JF06</t>
  </si>
  <si>
    <t>JF07</t>
  </si>
  <si>
    <t>散料</t>
  </si>
  <si>
    <t>RL85M</t>
  </si>
  <si>
    <t>RL85C</t>
  </si>
  <si>
    <t>RL85C/FS</t>
  </si>
  <si>
    <t>RL25CHC</t>
  </si>
  <si>
    <t>预装</t>
  </si>
  <si>
    <t>自检及内检</t>
  </si>
  <si>
    <t>外检</t>
  </si>
  <si>
    <t>包装发运</t>
  </si>
  <si>
    <t>编制：</t>
  </si>
  <si>
    <t>审核：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</si>
</sst>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6" fillId="0" borderId="13" xfId="2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6" xfId="2" applyBorder="1" applyAlignment="1">
      <alignment horizontal="center" vertical="center"/>
    </xf>
    <xf numFmtId="0" fontId="6" fillId="0" borderId="17" xfId="2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6" fillId="0" borderId="22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0" fontId="6" fillId="0" borderId="23" xfId="2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25" xfId="2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6" fillId="2" borderId="16" xfId="2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6" fillId="2" borderId="27" xfId="2" applyFill="1" applyBorder="1" applyAlignment="1">
      <alignment horizontal="center" vertical="center"/>
    </xf>
    <xf numFmtId="0" fontId="6" fillId="3" borderId="16" xfId="2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6" fillId="3" borderId="27" xfId="2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27" xfId="2" applyBorder="1" applyAlignment="1">
      <alignment horizontal="center" vertical="center"/>
    </xf>
    <xf numFmtId="0" fontId="6" fillId="4" borderId="16" xfId="2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6" fillId="4" borderId="27" xfId="2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29" xfId="2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15" xfId="2" applyBorder="1" applyAlignment="1">
      <alignment horizontal="center" vertical="center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0" fontId="6" fillId="0" borderId="19" xfId="2" applyBorder="1" applyAlignment="1">
      <alignment horizontal="center" vertical="center"/>
    </xf>
    <xf numFmtId="0" fontId="6" fillId="0" borderId="18" xfId="2" applyBorder="1" applyAlignment="1">
      <alignment horizontal="center" vertical="center"/>
    </xf>
    <xf numFmtId="0" fontId="6" fillId="0" borderId="21" xfId="2" applyBorder="1" applyAlignment="1">
      <alignment horizontal="center" vertical="center"/>
    </xf>
    <xf numFmtId="0" fontId="6" fillId="0" borderId="20" xfId="2" applyBorder="1" applyAlignment="1">
      <alignment horizontal="center" vertical="center"/>
    </xf>
    <xf numFmtId="0" fontId="6" fillId="0" borderId="31" xfId="2" applyBorder="1" applyAlignment="1">
      <alignment horizontal="center" vertical="center"/>
    </xf>
    <xf numFmtId="0" fontId="6" fillId="0" borderId="30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0" fontId="6" fillId="0" borderId="50" xfId="2" applyBorder="1" applyAlignment="1">
      <alignment horizontal="center" vertical="center"/>
    </xf>
    <xf numFmtId="0" fontId="6" fillId="0" borderId="26" xfId="2" applyBorder="1" applyAlignment="1">
      <alignment horizontal="center" vertical="center"/>
    </xf>
    <xf numFmtId="0" fontId="6" fillId="0" borderId="28" xfId="2" applyBorder="1" applyAlignment="1">
      <alignment horizontal="center" vertical="center"/>
    </xf>
    <xf numFmtId="0" fontId="5" fillId="0" borderId="5" xfId="2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6" fillId="0" borderId="40" xfId="2" applyBorder="1" applyAlignment="1">
      <alignment horizontal="center" vertical="center" wrapText="1"/>
    </xf>
    <xf numFmtId="0" fontId="6" fillId="0" borderId="19" xfId="2" applyBorder="1" applyAlignment="1">
      <alignment horizontal="center" vertical="center" wrapText="1"/>
    </xf>
    <xf numFmtId="0" fontId="6" fillId="0" borderId="21" xfId="2" applyBorder="1" applyAlignment="1">
      <alignment horizontal="center" vertical="center" wrapText="1"/>
    </xf>
    <xf numFmtId="0" fontId="6" fillId="0" borderId="31" xfId="2" applyBorder="1" applyAlignment="1">
      <alignment horizontal="center" vertical="center" wrapText="1"/>
    </xf>
    <xf numFmtId="0" fontId="6" fillId="0" borderId="51" xfId="2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" fillId="0" borderId="53" xfId="2" applyFont="1" applyBorder="1" applyAlignment="1">
      <alignment horizontal="center" vertical="center"/>
    </xf>
    <xf numFmtId="0" fontId="6" fillId="0" borderId="24" xfId="2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6" fillId="0" borderId="54" xfId="2" applyBorder="1" applyAlignment="1">
      <alignment horizontal="center" vertical="center"/>
    </xf>
    <xf numFmtId="0" fontId="6" fillId="0" borderId="32" xfId="2" applyBorder="1" applyAlignment="1">
      <alignment horizontal="center" vertical="center"/>
    </xf>
    <xf numFmtId="0" fontId="6" fillId="5" borderId="40" xfId="2" applyFill="1" applyBorder="1" applyAlignment="1">
      <alignment horizontal="center" vertical="center"/>
    </xf>
    <xf numFmtId="0" fontId="6" fillId="6" borderId="40" xfId="2" applyFill="1" applyBorder="1" applyAlignment="1">
      <alignment horizontal="center" vertical="center"/>
    </xf>
    <xf numFmtId="0" fontId="6" fillId="7" borderId="19" xfId="2" applyFill="1" applyBorder="1" applyAlignment="1">
      <alignment horizontal="center" vertical="center"/>
    </xf>
    <xf numFmtId="0" fontId="6" fillId="8" borderId="31" xfId="2" applyFill="1" applyBorder="1" applyAlignment="1">
      <alignment horizontal="center" vertical="center"/>
    </xf>
    <xf numFmtId="0" fontId="6" fillId="0" borderId="27" xfId="2" applyBorder="1" applyAlignment="1">
      <alignment horizontal="center" vertical="center"/>
    </xf>
    <xf numFmtId="0" fontId="6" fillId="0" borderId="26" xfId="2" applyBorder="1" applyAlignment="1">
      <alignment horizontal="center" vertical="center"/>
    </xf>
    <xf numFmtId="0" fontId="6" fillId="0" borderId="29" xfId="2" applyBorder="1" applyAlignment="1">
      <alignment horizontal="center" vertical="center"/>
    </xf>
    <xf numFmtId="0" fontId="6" fillId="0" borderId="28" xfId="2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" fillId="0" borderId="3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6" fillId="0" borderId="5" xfId="2" applyBorder="1" applyAlignment="1">
      <alignment horizontal="center" vertical="center" wrapText="1"/>
    </xf>
    <xf numFmtId="0" fontId="6" fillId="0" borderId="0" xfId="2" applyAlignment="1">
      <alignment horizontal="center" vertical="center" wrapText="1"/>
    </xf>
    <xf numFmtId="0" fontId="6" fillId="0" borderId="9" xfId="2" applyBorder="1" applyAlignment="1">
      <alignment horizontal="center" vertical="center" wrapText="1"/>
    </xf>
    <xf numFmtId="0" fontId="6" fillId="0" borderId="32" xfId="2" applyBorder="1" applyAlignment="1">
      <alignment horizontal="center" vertical="center" wrapText="1"/>
    </xf>
    <xf numFmtId="0" fontId="6" fillId="0" borderId="35" xfId="2" applyBorder="1" applyAlignment="1">
      <alignment horizontal="center" vertical="center" wrapText="1"/>
    </xf>
    <xf numFmtId="0" fontId="6" fillId="0" borderId="36" xfId="2" applyBorder="1" applyAlignment="1">
      <alignment horizontal="center" vertical="center" wrapText="1"/>
    </xf>
    <xf numFmtId="0" fontId="6" fillId="0" borderId="13" xfId="2" applyBorder="1" applyAlignment="1">
      <alignment horizontal="center" vertical="center"/>
    </xf>
    <xf numFmtId="0" fontId="6" fillId="0" borderId="17" xfId="2" applyBorder="1" applyAlignment="1">
      <alignment horizontal="center" vertical="center"/>
    </xf>
    <xf numFmtId="0" fontId="6" fillId="0" borderId="23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2" fillId="0" borderId="4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6" fillId="0" borderId="41" xfId="2" applyBorder="1" applyAlignment="1">
      <alignment horizontal="center" vertical="center"/>
    </xf>
    <xf numFmtId="0" fontId="6" fillId="0" borderId="19" xfId="2" applyBorder="1" applyAlignment="1">
      <alignment horizontal="center" vertical="center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0" fontId="6" fillId="0" borderId="21" xfId="2" applyBorder="1" applyAlignment="1">
      <alignment horizontal="center" vertical="center"/>
    </xf>
    <xf numFmtId="0" fontId="6" fillId="0" borderId="44" xfId="2" applyBorder="1" applyAlignment="1">
      <alignment horizontal="center" vertical="center"/>
    </xf>
    <xf numFmtId="0" fontId="6" fillId="0" borderId="46" xfId="2" applyBorder="1" applyAlignment="1">
      <alignment horizontal="center" vertical="center"/>
    </xf>
    <xf numFmtId="0" fontId="6" fillId="0" borderId="31" xfId="2" applyBorder="1" applyAlignment="1">
      <alignment horizontal="center" vertical="center"/>
    </xf>
    <xf numFmtId="0" fontId="6" fillId="0" borderId="47" xfId="2" applyBorder="1" applyAlignment="1">
      <alignment horizontal="center" vertical="center"/>
    </xf>
    <xf numFmtId="0" fontId="6" fillId="0" borderId="49" xfId="2" applyBorder="1" applyAlignment="1">
      <alignment horizontal="center" vertical="center"/>
    </xf>
    <xf numFmtId="0" fontId="6" fillId="0" borderId="50" xfId="2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52" xfId="2" applyFont="1" applyBorder="1" applyAlignment="1">
      <alignment horizontal="center" vertical="center"/>
    </xf>
    <xf numFmtId="57" fontId="3" fillId="0" borderId="2" xfId="2" applyNumberFormat="1" applyFont="1" applyBorder="1" applyAlignment="1">
      <alignment horizontal="center" vertical="center"/>
    </xf>
    <xf numFmtId="57" fontId="3" fillId="0" borderId="52" xfId="2" applyNumberFormat="1" applyFont="1" applyBorder="1" applyAlignment="1">
      <alignment horizontal="center" vertical="center"/>
    </xf>
    <xf numFmtId="0" fontId="6" fillId="0" borderId="37" xfId="2" applyBorder="1" applyAlignment="1">
      <alignment horizontal="center" vertical="center"/>
    </xf>
    <xf numFmtId="0" fontId="6" fillId="0" borderId="15" xfId="2" applyBorder="1" applyAlignment="1">
      <alignment horizontal="center" vertical="center"/>
    </xf>
    <xf numFmtId="0" fontId="6" fillId="0" borderId="38" xfId="2" applyBorder="1" applyAlignment="1">
      <alignment horizontal="center" vertical="center"/>
    </xf>
  </cellXfs>
  <cellStyles count="3">
    <cellStyle name="常规" xfId="0" builtinId="0"/>
    <cellStyle name="常规 2" xfId="2" xr:uid="{00000000-0005-0000-0000-000033000000}"/>
    <cellStyle name="常规 2 2" xfId="1" xr:uid="{00000000-0005-0000-0000-000031000000}"/>
  </cellStyles>
  <dxfs count="0"/>
  <tableStyles count="0" defaultTableStyle="TableStyleMedium9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5"/>
  <sheetViews>
    <sheetView tabSelected="1" view="pageBreakPreview" zoomScaleNormal="100" workbookViewId="0">
      <pane xSplit="26" ySplit="3" topLeftCell="AL28" activePane="bottomRight" state="frozen"/>
      <selection pane="topRight"/>
      <selection pane="bottomLeft"/>
      <selection pane="bottomRight" activeCell="CK38" sqref="CK38"/>
    </sheetView>
  </sheetViews>
  <sheetFormatPr defaultColWidth="9" defaultRowHeight="14.4" x14ac:dyDescent="0.25"/>
  <cols>
    <col min="1" max="1" width="9" style="1"/>
    <col min="2" max="2" width="11.33203125" style="1" customWidth="1"/>
    <col min="3" max="4" width="11.77734375" style="1" customWidth="1"/>
    <col min="5" max="6" width="9" style="1"/>
    <col min="7" max="25" width="3.6640625" style="1" hidden="1" customWidth="1"/>
    <col min="26" max="26" width="8.21875" style="1" customWidth="1"/>
    <col min="27" max="44" width="3.6640625" style="1" customWidth="1"/>
    <col min="45" max="97" width="3.5546875" style="1" customWidth="1"/>
    <col min="98" max="16384" width="9" style="1"/>
  </cols>
  <sheetData>
    <row r="1" spans="1:97" ht="34.049999999999997" customHeight="1" x14ac:dyDescent="0.25">
      <c r="A1" s="10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1"/>
    </row>
    <row r="2" spans="1:97" ht="16.05" customHeight="1" x14ac:dyDescent="0.25">
      <c r="A2" s="80" t="s">
        <v>1</v>
      </c>
      <c r="B2" s="92" t="s">
        <v>2</v>
      </c>
      <c r="C2" s="96"/>
      <c r="D2" s="92" t="s">
        <v>3</v>
      </c>
      <c r="E2" s="94" t="s">
        <v>4</v>
      </c>
      <c r="F2" s="94" t="s">
        <v>5</v>
      </c>
      <c r="G2" s="112">
        <v>45902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3"/>
      <c r="AK2" s="112">
        <v>45932</v>
      </c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3"/>
      <c r="BP2" s="112">
        <v>45964</v>
      </c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</row>
    <row r="3" spans="1:97" ht="16.05" customHeight="1" x14ac:dyDescent="0.25">
      <c r="A3" s="81"/>
      <c r="B3" s="93"/>
      <c r="C3" s="97"/>
      <c r="D3" s="93"/>
      <c r="E3" s="95"/>
      <c r="F3" s="95"/>
      <c r="G3" s="2">
        <v>1</v>
      </c>
      <c r="H3" s="3">
        <v>2</v>
      </c>
      <c r="I3" s="3">
        <v>3</v>
      </c>
      <c r="J3" s="3">
        <v>4</v>
      </c>
      <c r="K3" s="3">
        <v>5</v>
      </c>
      <c r="L3" s="3">
        <v>6</v>
      </c>
      <c r="M3" s="3">
        <v>7</v>
      </c>
      <c r="N3" s="3">
        <v>8</v>
      </c>
      <c r="O3" s="3">
        <v>9</v>
      </c>
      <c r="P3" s="3">
        <v>10</v>
      </c>
      <c r="Q3" s="3">
        <v>11</v>
      </c>
      <c r="R3" s="3">
        <v>12</v>
      </c>
      <c r="S3" s="3">
        <v>13</v>
      </c>
      <c r="T3" s="3">
        <v>14</v>
      </c>
      <c r="U3" s="3">
        <v>15</v>
      </c>
      <c r="V3" s="3">
        <v>16</v>
      </c>
      <c r="W3" s="3">
        <v>17</v>
      </c>
      <c r="X3" s="3">
        <v>18</v>
      </c>
      <c r="Y3" s="3">
        <v>19</v>
      </c>
      <c r="Z3" s="3"/>
      <c r="AA3" s="3">
        <v>21</v>
      </c>
      <c r="AB3" s="3">
        <v>22</v>
      </c>
      <c r="AC3" s="3">
        <v>23</v>
      </c>
      <c r="AD3" s="3">
        <v>24</v>
      </c>
      <c r="AE3" s="3">
        <v>25</v>
      </c>
      <c r="AF3" s="3">
        <v>26</v>
      </c>
      <c r="AG3" s="3">
        <v>27</v>
      </c>
      <c r="AH3" s="3">
        <v>28</v>
      </c>
      <c r="AI3" s="3">
        <v>29</v>
      </c>
      <c r="AJ3" s="66">
        <v>30</v>
      </c>
      <c r="AK3" s="2">
        <v>1</v>
      </c>
      <c r="AL3" s="3">
        <v>2</v>
      </c>
      <c r="AM3" s="3">
        <v>3</v>
      </c>
      <c r="AN3" s="3">
        <v>4</v>
      </c>
      <c r="AO3" s="3">
        <v>5</v>
      </c>
      <c r="AP3" s="3">
        <v>6</v>
      </c>
      <c r="AQ3" s="3">
        <v>7</v>
      </c>
      <c r="AR3" s="3">
        <v>8</v>
      </c>
      <c r="AS3" s="3">
        <v>9</v>
      </c>
      <c r="AT3" s="3">
        <v>10</v>
      </c>
      <c r="AU3" s="3">
        <v>11</v>
      </c>
      <c r="AV3" s="3">
        <v>12</v>
      </c>
      <c r="AW3" s="3">
        <v>13</v>
      </c>
      <c r="AX3" s="3">
        <v>14</v>
      </c>
      <c r="AY3" s="3">
        <v>15</v>
      </c>
      <c r="AZ3" s="3">
        <v>16</v>
      </c>
      <c r="BA3" s="3">
        <v>17</v>
      </c>
      <c r="BB3" s="3">
        <v>18</v>
      </c>
      <c r="BC3" s="3">
        <v>19</v>
      </c>
      <c r="BD3" s="3">
        <v>20</v>
      </c>
      <c r="BE3" s="3">
        <v>21</v>
      </c>
      <c r="BF3" s="3">
        <v>22</v>
      </c>
      <c r="BG3" s="3">
        <v>23</v>
      </c>
      <c r="BH3" s="3">
        <v>24</v>
      </c>
      <c r="BI3" s="3">
        <v>25</v>
      </c>
      <c r="BJ3" s="3">
        <v>26</v>
      </c>
      <c r="BK3" s="3">
        <v>27</v>
      </c>
      <c r="BL3" s="3">
        <v>28</v>
      </c>
      <c r="BM3" s="3">
        <v>29</v>
      </c>
      <c r="BN3" s="3">
        <v>30</v>
      </c>
      <c r="BO3" s="66">
        <v>31</v>
      </c>
      <c r="BP3" s="2">
        <v>1</v>
      </c>
      <c r="BQ3" s="2">
        <v>2</v>
      </c>
      <c r="BR3" s="2">
        <v>3</v>
      </c>
      <c r="BS3" s="2">
        <v>4</v>
      </c>
      <c r="BT3" s="2">
        <v>5</v>
      </c>
      <c r="BU3" s="2">
        <v>6</v>
      </c>
      <c r="BV3" s="2">
        <v>7</v>
      </c>
      <c r="BW3" s="2">
        <v>8</v>
      </c>
      <c r="BX3" s="2">
        <v>9</v>
      </c>
      <c r="BY3" s="2">
        <v>10</v>
      </c>
      <c r="BZ3" s="2">
        <v>11</v>
      </c>
      <c r="CA3" s="2">
        <v>12</v>
      </c>
      <c r="CB3" s="2">
        <v>13</v>
      </c>
      <c r="CC3" s="2">
        <v>14</v>
      </c>
      <c r="CD3" s="2">
        <v>15</v>
      </c>
      <c r="CE3" s="2">
        <v>16</v>
      </c>
      <c r="CF3" s="2">
        <v>17</v>
      </c>
      <c r="CG3" s="2">
        <v>18</v>
      </c>
      <c r="CH3" s="2">
        <v>19</v>
      </c>
      <c r="CI3" s="2">
        <v>20</v>
      </c>
      <c r="CJ3" s="2">
        <v>21</v>
      </c>
      <c r="CK3" s="2">
        <v>22</v>
      </c>
      <c r="CL3" s="2">
        <v>23</v>
      </c>
      <c r="CM3" s="2">
        <v>24</v>
      </c>
      <c r="CN3" s="2">
        <v>25</v>
      </c>
      <c r="CO3" s="2">
        <v>26</v>
      </c>
      <c r="CP3" s="2">
        <v>27</v>
      </c>
      <c r="CQ3" s="2">
        <v>28</v>
      </c>
      <c r="CR3" s="2">
        <v>29</v>
      </c>
      <c r="CS3" s="2">
        <v>30</v>
      </c>
    </row>
    <row r="4" spans="1:97" ht="15" customHeight="1" x14ac:dyDescent="0.25">
      <c r="A4" s="4">
        <v>1</v>
      </c>
      <c r="B4" s="82" t="s">
        <v>6</v>
      </c>
      <c r="C4" s="4" t="s">
        <v>7</v>
      </c>
      <c r="D4" s="5" t="s">
        <v>8</v>
      </c>
      <c r="E4" s="4">
        <v>2</v>
      </c>
      <c r="F4" s="4">
        <v>802</v>
      </c>
      <c r="G4" s="6"/>
      <c r="H4" s="7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67"/>
      <c r="AK4" s="6"/>
      <c r="AL4" s="7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67"/>
      <c r="BP4" s="6"/>
      <c r="BQ4" s="7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</row>
    <row r="5" spans="1:97" ht="15" customHeight="1" x14ac:dyDescent="0.25">
      <c r="A5" s="8">
        <v>2</v>
      </c>
      <c r="B5" s="83"/>
      <c r="C5" s="8" t="s">
        <v>9</v>
      </c>
      <c r="D5" s="9" t="s">
        <v>8</v>
      </c>
      <c r="E5" s="8">
        <v>10</v>
      </c>
      <c r="F5" s="8">
        <v>377</v>
      </c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29"/>
      <c r="AK5" s="10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29"/>
      <c r="BP5" s="10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</row>
    <row r="6" spans="1:97" ht="15" customHeight="1" x14ac:dyDescent="0.25">
      <c r="A6" s="8">
        <v>3</v>
      </c>
      <c r="B6" s="83"/>
      <c r="C6" s="8" t="s">
        <v>10</v>
      </c>
      <c r="D6" s="9" t="s">
        <v>8</v>
      </c>
      <c r="E6" s="8">
        <v>14</v>
      </c>
      <c r="F6" s="8">
        <v>429</v>
      </c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>
        <f>SUM(AA6:CS6)</f>
        <v>0</v>
      </c>
      <c r="AA6" s="11"/>
      <c r="AB6" s="11"/>
      <c r="AC6" s="11"/>
      <c r="AD6" s="11"/>
      <c r="AE6" s="11"/>
      <c r="AF6" s="11"/>
      <c r="AG6" s="11"/>
      <c r="AH6" s="11"/>
      <c r="AI6" s="11"/>
      <c r="AJ6" s="29"/>
      <c r="AK6" s="10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29"/>
      <c r="BP6" s="10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</row>
    <row r="7" spans="1:97" ht="15" customHeight="1" x14ac:dyDescent="0.25">
      <c r="A7" s="8">
        <v>4</v>
      </c>
      <c r="B7" s="83"/>
      <c r="C7" s="8" t="s">
        <v>11</v>
      </c>
      <c r="D7" s="9" t="s">
        <v>8</v>
      </c>
      <c r="E7" s="8">
        <v>18</v>
      </c>
      <c r="F7" s="8">
        <v>457</v>
      </c>
      <c r="G7" s="12"/>
      <c r="H7" s="13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>
        <f t="shared" ref="Z7:Z46" si="0">SUM(AA7:CS7)</f>
        <v>0</v>
      </c>
      <c r="AA7" s="11"/>
      <c r="AB7" s="11"/>
      <c r="AC7" s="11"/>
      <c r="AD7" s="11"/>
      <c r="AE7" s="11"/>
      <c r="AF7" s="11"/>
      <c r="AG7" s="11"/>
      <c r="AH7" s="11"/>
      <c r="AI7" s="11"/>
      <c r="AJ7" s="29"/>
      <c r="AK7" s="12"/>
      <c r="AL7" s="13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29"/>
      <c r="BP7" s="12"/>
      <c r="BQ7" s="13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</row>
    <row r="8" spans="1:97" ht="15" customHeight="1" x14ac:dyDescent="0.25">
      <c r="A8" s="8">
        <v>5</v>
      </c>
      <c r="B8" s="83"/>
      <c r="C8" s="8" t="s">
        <v>12</v>
      </c>
      <c r="D8" s="9" t="s">
        <v>8</v>
      </c>
      <c r="E8" s="8">
        <v>22</v>
      </c>
      <c r="F8" s="8">
        <v>476</v>
      </c>
      <c r="G8" s="12"/>
      <c r="H8" s="13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>
        <f t="shared" si="0"/>
        <v>0</v>
      </c>
      <c r="AA8" s="11"/>
      <c r="AB8" s="11"/>
      <c r="AC8" s="11"/>
      <c r="AD8" s="11"/>
      <c r="AE8" s="11"/>
      <c r="AF8" s="11"/>
      <c r="AG8" s="11"/>
      <c r="AH8" s="11"/>
      <c r="AI8" s="11"/>
      <c r="AJ8" s="29"/>
      <c r="AK8" s="12"/>
      <c r="AL8" s="13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29"/>
      <c r="BP8" s="12"/>
      <c r="BQ8" s="13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</row>
    <row r="9" spans="1:97" ht="15" customHeight="1" x14ac:dyDescent="0.25">
      <c r="A9" s="8">
        <v>6</v>
      </c>
      <c r="B9" s="83"/>
      <c r="C9" s="8" t="s">
        <v>13</v>
      </c>
      <c r="D9" s="9" t="s">
        <v>8</v>
      </c>
      <c r="E9" s="8">
        <v>26</v>
      </c>
      <c r="F9" s="8">
        <v>488</v>
      </c>
      <c r="G9" s="14"/>
      <c r="H9" s="15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11">
        <f t="shared" si="0"/>
        <v>0</v>
      </c>
      <c r="AA9" s="57"/>
      <c r="AB9" s="57"/>
      <c r="AC9" s="57"/>
      <c r="AD9" s="57"/>
      <c r="AE9" s="57"/>
      <c r="AF9" s="57"/>
      <c r="AG9" s="57"/>
      <c r="AH9" s="57"/>
      <c r="AI9" s="57"/>
      <c r="AJ9" s="68"/>
      <c r="AK9" s="14"/>
      <c r="AL9" s="15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68"/>
      <c r="BP9" s="14"/>
      <c r="BQ9" s="15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</row>
    <row r="10" spans="1:97" ht="15" customHeight="1" x14ac:dyDescent="0.25">
      <c r="A10" s="8">
        <v>7</v>
      </c>
      <c r="B10" s="83"/>
      <c r="C10" s="8" t="s">
        <v>14</v>
      </c>
      <c r="D10" s="9" t="s">
        <v>8</v>
      </c>
      <c r="E10" s="8">
        <v>30</v>
      </c>
      <c r="F10" s="8">
        <v>498</v>
      </c>
      <c r="G10" s="14"/>
      <c r="H10" s="15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11">
        <f t="shared" si="0"/>
        <v>0</v>
      </c>
      <c r="AA10" s="57"/>
      <c r="AB10" s="57"/>
      <c r="AC10" s="57"/>
      <c r="AD10" s="57"/>
      <c r="AE10" s="57"/>
      <c r="AF10" s="57"/>
      <c r="AG10" s="57"/>
      <c r="AH10" s="57"/>
      <c r="AI10" s="57"/>
      <c r="AJ10" s="68"/>
      <c r="AK10" s="14"/>
      <c r="AL10" s="15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68"/>
      <c r="BP10" s="14"/>
      <c r="BQ10" s="15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</row>
    <row r="11" spans="1:97" ht="15" customHeight="1" x14ac:dyDescent="0.25">
      <c r="A11" s="8">
        <v>8</v>
      </c>
      <c r="B11" s="83"/>
      <c r="C11" s="8" t="s">
        <v>15</v>
      </c>
      <c r="D11" s="9" t="s">
        <v>8</v>
      </c>
      <c r="E11" s="8">
        <v>34</v>
      </c>
      <c r="F11" s="8">
        <v>505</v>
      </c>
      <c r="G11" s="14"/>
      <c r="H11" s="15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11">
        <f t="shared" si="0"/>
        <v>0</v>
      </c>
      <c r="AA11" s="57"/>
      <c r="AB11" s="57"/>
      <c r="AC11" s="57"/>
      <c r="AD11" s="57"/>
      <c r="AE11" s="57"/>
      <c r="AF11" s="57"/>
      <c r="AG11" s="57"/>
      <c r="AH11" s="57"/>
      <c r="AI11" s="57"/>
      <c r="AJ11" s="68"/>
      <c r="AK11" s="14"/>
      <c r="AL11" s="15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68"/>
      <c r="BP11" s="14"/>
      <c r="BQ11" s="15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</row>
    <row r="12" spans="1:97" ht="15" customHeight="1" x14ac:dyDescent="0.25">
      <c r="A12" s="8">
        <v>9</v>
      </c>
      <c r="B12" s="83"/>
      <c r="C12" s="8" t="s">
        <v>16</v>
      </c>
      <c r="D12" s="9" t="s">
        <v>8</v>
      </c>
      <c r="E12" s="8">
        <v>40</v>
      </c>
      <c r="F12" s="8">
        <v>207</v>
      </c>
      <c r="G12" s="14"/>
      <c r="H12" s="15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11">
        <f t="shared" si="0"/>
        <v>40</v>
      </c>
      <c r="AA12" s="57"/>
      <c r="AB12" s="57"/>
      <c r="AC12" s="57"/>
      <c r="AD12" s="57"/>
      <c r="AE12" s="57"/>
      <c r="AF12" s="57"/>
      <c r="AG12" s="57"/>
      <c r="AH12" s="57"/>
      <c r="AI12" s="57"/>
      <c r="AJ12" s="68"/>
      <c r="AK12" s="14"/>
      <c r="AL12" s="15"/>
      <c r="AM12" s="57"/>
      <c r="AN12" s="57"/>
      <c r="AO12" s="57"/>
      <c r="AP12" s="57"/>
      <c r="AQ12" s="57"/>
      <c r="AR12" s="57">
        <v>2</v>
      </c>
      <c r="AS12" s="57">
        <v>2</v>
      </c>
      <c r="AT12" s="57">
        <v>2</v>
      </c>
      <c r="AU12" s="57">
        <v>2</v>
      </c>
      <c r="AV12" s="57"/>
      <c r="AW12" s="57">
        <v>2</v>
      </c>
      <c r="AX12" s="57">
        <v>2</v>
      </c>
      <c r="AY12" s="57">
        <v>2</v>
      </c>
      <c r="AZ12" s="57">
        <v>2</v>
      </c>
      <c r="BA12" s="57">
        <v>2</v>
      </c>
      <c r="BB12" s="57">
        <v>2</v>
      </c>
      <c r="BC12" s="57"/>
      <c r="BD12" s="57">
        <v>2</v>
      </c>
      <c r="BE12" s="57">
        <v>2</v>
      </c>
      <c r="BF12" s="57">
        <v>2</v>
      </c>
      <c r="BG12" s="57">
        <v>2</v>
      </c>
      <c r="BH12" s="57">
        <v>2</v>
      </c>
      <c r="BI12" s="57">
        <v>2</v>
      </c>
      <c r="BJ12" s="57"/>
      <c r="BK12" s="57">
        <v>2</v>
      </c>
      <c r="BL12" s="57">
        <v>2</v>
      </c>
      <c r="BM12" s="57">
        <v>2</v>
      </c>
      <c r="BN12" s="57">
        <v>2</v>
      </c>
      <c r="BO12" s="57"/>
      <c r="BP12" s="14"/>
      <c r="BQ12" s="15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</row>
    <row r="13" spans="1:97" ht="15" customHeight="1" x14ac:dyDescent="0.25">
      <c r="A13" s="16">
        <v>14</v>
      </c>
      <c r="B13" s="83"/>
      <c r="C13" s="17" t="s">
        <v>17</v>
      </c>
      <c r="D13" s="18" t="s">
        <v>8</v>
      </c>
      <c r="E13" s="17">
        <v>40</v>
      </c>
      <c r="F13" s="17">
        <v>348</v>
      </c>
      <c r="G13" s="14"/>
      <c r="H13" s="15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11">
        <f t="shared" si="0"/>
        <v>40</v>
      </c>
      <c r="AA13" s="57"/>
      <c r="AB13" s="57"/>
      <c r="AC13" s="57"/>
      <c r="AD13" s="57"/>
      <c r="AE13" s="57"/>
      <c r="AF13" s="57"/>
      <c r="AG13" s="57"/>
      <c r="AH13" s="57"/>
      <c r="AI13" s="57"/>
      <c r="AJ13" s="68"/>
      <c r="AK13" s="14"/>
      <c r="AL13" s="15"/>
      <c r="AM13" s="57"/>
      <c r="AN13" s="57"/>
      <c r="AO13" s="57"/>
      <c r="AP13" s="57"/>
      <c r="AQ13" s="57"/>
      <c r="AR13" s="57">
        <v>2</v>
      </c>
      <c r="AS13" s="57">
        <v>2</v>
      </c>
      <c r="AT13" s="57">
        <v>2</v>
      </c>
      <c r="AU13" s="57">
        <v>2</v>
      </c>
      <c r="AV13" s="57"/>
      <c r="AW13" s="57">
        <v>2</v>
      </c>
      <c r="AX13" s="57">
        <v>2</v>
      </c>
      <c r="AY13" s="57">
        <v>2</v>
      </c>
      <c r="AZ13" s="57">
        <v>2</v>
      </c>
      <c r="BA13" s="57">
        <v>2</v>
      </c>
      <c r="BB13" s="57">
        <v>2</v>
      </c>
      <c r="BC13" s="57"/>
      <c r="BD13" s="57">
        <v>2</v>
      </c>
      <c r="BE13" s="57">
        <v>2</v>
      </c>
      <c r="BF13" s="57">
        <v>2</v>
      </c>
      <c r="BG13" s="57">
        <v>2</v>
      </c>
      <c r="BH13" s="57">
        <v>2</v>
      </c>
      <c r="BI13" s="57">
        <v>2</v>
      </c>
      <c r="BJ13" s="57"/>
      <c r="BK13" s="57">
        <v>2</v>
      </c>
      <c r="BL13" s="57">
        <v>2</v>
      </c>
      <c r="BM13" s="57">
        <v>2</v>
      </c>
      <c r="BN13" s="57">
        <v>2</v>
      </c>
      <c r="BO13" s="57"/>
      <c r="BP13" s="14"/>
      <c r="BQ13" s="15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</row>
    <row r="14" spans="1:97" ht="15" customHeight="1" x14ac:dyDescent="0.25">
      <c r="A14" s="4">
        <v>15</v>
      </c>
      <c r="B14" s="82" t="s">
        <v>18</v>
      </c>
      <c r="C14" s="4" t="s">
        <v>19</v>
      </c>
      <c r="D14" s="19" t="s">
        <v>20</v>
      </c>
      <c r="E14" s="20">
        <v>40</v>
      </c>
      <c r="F14" s="4">
        <v>765</v>
      </c>
      <c r="G14" s="21"/>
      <c r="H14" s="22"/>
      <c r="I14" s="2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1">
        <f t="shared" si="0"/>
        <v>40</v>
      </c>
      <c r="AA14" s="7"/>
      <c r="AB14" s="7"/>
      <c r="AC14" s="7"/>
      <c r="AD14" s="7"/>
      <c r="AE14" s="7"/>
      <c r="AF14" s="7"/>
      <c r="AG14" s="7"/>
      <c r="AH14" s="7"/>
      <c r="AI14" s="7"/>
      <c r="AJ14" s="67"/>
      <c r="AK14" s="21"/>
      <c r="AL14" s="22"/>
      <c r="AM14" s="22"/>
      <c r="AN14" s="7"/>
      <c r="AO14" s="7"/>
      <c r="AP14" s="7"/>
      <c r="AQ14" s="7"/>
      <c r="AR14" s="7"/>
      <c r="AS14" s="7">
        <v>2</v>
      </c>
      <c r="AT14" s="7">
        <v>2</v>
      </c>
      <c r="AU14" s="7">
        <v>2</v>
      </c>
      <c r="AV14" s="7"/>
      <c r="AW14" s="7">
        <v>2</v>
      </c>
      <c r="AX14" s="7">
        <v>2</v>
      </c>
      <c r="AY14" s="7">
        <v>2</v>
      </c>
      <c r="AZ14" s="7">
        <v>2</v>
      </c>
      <c r="BA14" s="7">
        <v>2</v>
      </c>
      <c r="BB14" s="7">
        <v>2</v>
      </c>
      <c r="BC14" s="7"/>
      <c r="BD14" s="7">
        <v>2</v>
      </c>
      <c r="BE14" s="7">
        <v>2</v>
      </c>
      <c r="BF14" s="7">
        <v>2</v>
      </c>
      <c r="BG14" s="7">
        <v>2</v>
      </c>
      <c r="BH14" s="7">
        <v>2</v>
      </c>
      <c r="BI14" s="7">
        <v>2</v>
      </c>
      <c r="BJ14" s="7"/>
      <c r="BK14" s="7">
        <v>2</v>
      </c>
      <c r="BL14" s="7">
        <v>2</v>
      </c>
      <c r="BM14" s="7">
        <v>2</v>
      </c>
      <c r="BN14" s="7">
        <v>2</v>
      </c>
      <c r="BO14" s="7">
        <v>2</v>
      </c>
      <c r="BP14" s="21"/>
      <c r="BQ14" s="22"/>
      <c r="BR14" s="22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</row>
    <row r="15" spans="1:97" ht="15" customHeight="1" x14ac:dyDescent="0.25">
      <c r="A15" s="8">
        <v>16</v>
      </c>
      <c r="B15" s="83"/>
      <c r="C15" s="23" t="s">
        <v>21</v>
      </c>
      <c r="D15" s="24" t="s">
        <v>20</v>
      </c>
      <c r="E15" s="25">
        <v>2</v>
      </c>
      <c r="F15" s="8">
        <v>765</v>
      </c>
      <c r="G15" s="12"/>
      <c r="H15" s="13"/>
      <c r="I15" s="13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>
        <f t="shared" si="0"/>
        <v>2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54"/>
      <c r="AK15" s="12"/>
      <c r="AL15" s="13"/>
      <c r="AM15" s="13"/>
      <c r="AN15" s="11"/>
      <c r="AO15" s="11"/>
      <c r="AP15" s="11"/>
      <c r="AQ15" s="11"/>
      <c r="AR15" s="11"/>
      <c r="AS15" s="11"/>
      <c r="AT15" s="11"/>
      <c r="AU15" s="11"/>
      <c r="AV15" s="11"/>
      <c r="AW15" s="11">
        <v>1</v>
      </c>
      <c r="AX15" s="11">
        <v>1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54"/>
      <c r="BP15" s="12"/>
      <c r="BQ15" s="13"/>
      <c r="BR15" s="13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</row>
    <row r="16" spans="1:97" ht="15" customHeight="1" x14ac:dyDescent="0.25">
      <c r="A16" s="8">
        <v>17</v>
      </c>
      <c r="B16" s="83"/>
      <c r="C16" s="26" t="s">
        <v>22</v>
      </c>
      <c r="D16" s="27" t="s">
        <v>20</v>
      </c>
      <c r="E16" s="28">
        <v>2</v>
      </c>
      <c r="F16" s="8">
        <v>738</v>
      </c>
      <c r="G16" s="12"/>
      <c r="H16" s="13"/>
      <c r="I16" s="13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>
        <f t="shared" si="0"/>
        <v>2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54"/>
      <c r="AK16" s="12"/>
      <c r="AL16" s="13"/>
      <c r="AM16" s="13"/>
      <c r="AN16" s="11"/>
      <c r="AO16" s="11"/>
      <c r="AP16" s="11"/>
      <c r="AQ16" s="11"/>
      <c r="AR16" s="11"/>
      <c r="AS16" s="11"/>
      <c r="AT16" s="11"/>
      <c r="AU16" s="11"/>
      <c r="AV16" s="11"/>
      <c r="AW16" s="11">
        <v>1</v>
      </c>
      <c r="AX16" s="11">
        <v>1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54"/>
      <c r="BP16" s="12"/>
      <c r="BQ16" s="13"/>
      <c r="BR16" s="13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</row>
    <row r="17" spans="1:97" ht="15" customHeight="1" x14ac:dyDescent="0.25">
      <c r="A17" s="8">
        <v>18</v>
      </c>
      <c r="B17" s="83"/>
      <c r="C17" s="26" t="s">
        <v>23</v>
      </c>
      <c r="D17" s="27" t="s">
        <v>20</v>
      </c>
      <c r="E17" s="28">
        <v>2</v>
      </c>
      <c r="F17" s="8">
        <v>738</v>
      </c>
      <c r="G17" s="14"/>
      <c r="H17" s="15"/>
      <c r="I17" s="15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11">
        <f t="shared" si="0"/>
        <v>2</v>
      </c>
      <c r="AA17" s="57"/>
      <c r="AB17" s="57"/>
      <c r="AC17" s="57"/>
      <c r="AD17" s="57"/>
      <c r="AE17" s="57"/>
      <c r="AF17" s="57"/>
      <c r="AG17" s="57"/>
      <c r="AH17" s="57"/>
      <c r="AI17" s="57"/>
      <c r="AJ17" s="69"/>
      <c r="AK17" s="14"/>
      <c r="AL17" s="15"/>
      <c r="AM17" s="15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>
        <v>1</v>
      </c>
      <c r="AZ17" s="57">
        <v>1</v>
      </c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69"/>
      <c r="BP17" s="14"/>
      <c r="BQ17" s="15"/>
      <c r="BR17" s="15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</row>
    <row r="18" spans="1:97" ht="15" customHeight="1" x14ac:dyDescent="0.25">
      <c r="A18" s="8">
        <v>19</v>
      </c>
      <c r="B18" s="83"/>
      <c r="C18" s="8" t="s">
        <v>24</v>
      </c>
      <c r="D18" s="29" t="s">
        <v>20</v>
      </c>
      <c r="E18" s="30">
        <v>2</v>
      </c>
      <c r="F18" s="8">
        <v>1244</v>
      </c>
      <c r="G18" s="14"/>
      <c r="H18" s="15"/>
      <c r="I18" s="15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11">
        <f t="shared" si="0"/>
        <v>2</v>
      </c>
      <c r="AA18" s="57"/>
      <c r="AB18" s="57"/>
      <c r="AC18" s="57"/>
      <c r="AD18" s="57"/>
      <c r="AE18" s="57"/>
      <c r="AF18" s="57"/>
      <c r="AG18" s="57"/>
      <c r="AH18" s="57"/>
      <c r="AI18" s="57"/>
      <c r="AJ18" s="69"/>
      <c r="AK18" s="14"/>
      <c r="AL18" s="15"/>
      <c r="AM18" s="15"/>
      <c r="AN18" s="57"/>
      <c r="AO18" s="57"/>
      <c r="AP18" s="57"/>
      <c r="AQ18" s="57"/>
      <c r="AR18" s="57"/>
      <c r="AS18" s="57"/>
      <c r="AT18" s="57"/>
      <c r="AU18" s="57"/>
      <c r="AV18" s="57"/>
      <c r="AW18" s="57">
        <v>1</v>
      </c>
      <c r="AX18" s="57">
        <v>1</v>
      </c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69"/>
      <c r="BP18" s="14"/>
      <c r="BQ18" s="15"/>
      <c r="BR18" s="15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</row>
    <row r="19" spans="1:97" ht="15" customHeight="1" x14ac:dyDescent="0.25">
      <c r="A19" s="8">
        <v>20</v>
      </c>
      <c r="B19" s="83"/>
      <c r="C19" s="8" t="s">
        <v>25</v>
      </c>
      <c r="D19" s="29" t="s">
        <v>20</v>
      </c>
      <c r="E19" s="30">
        <v>2</v>
      </c>
      <c r="F19" s="8">
        <v>1244</v>
      </c>
      <c r="G19" s="14"/>
      <c r="H19" s="15"/>
      <c r="I19" s="15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11">
        <f t="shared" si="0"/>
        <v>2</v>
      </c>
      <c r="AA19" s="57"/>
      <c r="AB19" s="57"/>
      <c r="AC19" s="57"/>
      <c r="AD19" s="57"/>
      <c r="AE19" s="57"/>
      <c r="AF19" s="57"/>
      <c r="AG19" s="57"/>
      <c r="AH19" s="57"/>
      <c r="AI19" s="57"/>
      <c r="AJ19" s="69"/>
      <c r="AK19" s="14"/>
      <c r="AL19" s="15"/>
      <c r="AM19" s="15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>
        <v>1</v>
      </c>
      <c r="AZ19" s="57">
        <v>1</v>
      </c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69"/>
      <c r="BP19" s="14"/>
      <c r="BQ19" s="15"/>
      <c r="BR19" s="15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</row>
    <row r="20" spans="1:97" ht="15" customHeight="1" x14ac:dyDescent="0.25">
      <c r="A20" s="8">
        <v>21</v>
      </c>
      <c r="B20" s="83"/>
      <c r="C20" s="8" t="s">
        <v>26</v>
      </c>
      <c r="D20" s="29" t="s">
        <v>20</v>
      </c>
      <c r="E20" s="30">
        <v>2</v>
      </c>
      <c r="F20" s="8">
        <v>985</v>
      </c>
      <c r="G20" s="14"/>
      <c r="H20" s="15"/>
      <c r="I20" s="15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11">
        <f t="shared" si="0"/>
        <v>2</v>
      </c>
      <c r="AA20" s="57"/>
      <c r="AB20" s="57"/>
      <c r="AC20" s="57"/>
      <c r="AD20" s="57"/>
      <c r="AE20" s="57"/>
      <c r="AF20" s="57"/>
      <c r="AG20" s="57"/>
      <c r="AH20" s="57"/>
      <c r="AI20" s="57"/>
      <c r="AJ20" s="69"/>
      <c r="AK20" s="14"/>
      <c r="AL20" s="15"/>
      <c r="AM20" s="15"/>
      <c r="AN20" s="57"/>
      <c r="AO20" s="57"/>
      <c r="AP20" s="57"/>
      <c r="AQ20" s="57"/>
      <c r="AR20" s="57"/>
      <c r="AS20" s="57"/>
      <c r="AT20" s="57"/>
      <c r="AU20" s="57"/>
      <c r="AV20" s="57"/>
      <c r="AW20" s="57">
        <v>1</v>
      </c>
      <c r="AX20" s="57">
        <v>1</v>
      </c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69"/>
      <c r="BP20" s="14"/>
      <c r="BQ20" s="15"/>
      <c r="BR20" s="15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</row>
    <row r="21" spans="1:97" ht="15" customHeight="1" x14ac:dyDescent="0.25">
      <c r="A21" s="8">
        <v>22</v>
      </c>
      <c r="B21" s="83"/>
      <c r="C21" s="8" t="s">
        <v>27</v>
      </c>
      <c r="D21" s="29" t="s">
        <v>20</v>
      </c>
      <c r="E21" s="30">
        <v>2</v>
      </c>
      <c r="F21" s="8">
        <v>985</v>
      </c>
      <c r="G21" s="14"/>
      <c r="H21" s="15"/>
      <c r="I21" s="15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11">
        <f t="shared" si="0"/>
        <v>2</v>
      </c>
      <c r="AA21" s="57"/>
      <c r="AB21" s="57"/>
      <c r="AC21" s="57"/>
      <c r="AD21" s="57"/>
      <c r="AE21" s="57"/>
      <c r="AF21" s="57"/>
      <c r="AG21" s="57"/>
      <c r="AH21" s="57"/>
      <c r="AI21" s="57"/>
      <c r="AJ21" s="69"/>
      <c r="AK21" s="14"/>
      <c r="AL21" s="15"/>
      <c r="AM21" s="15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>
        <v>1</v>
      </c>
      <c r="AZ21" s="57">
        <v>1</v>
      </c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69"/>
      <c r="BP21" s="14"/>
      <c r="BQ21" s="15"/>
      <c r="BR21" s="15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</row>
    <row r="22" spans="1:97" ht="15" customHeight="1" x14ac:dyDescent="0.25">
      <c r="A22" s="8">
        <v>23</v>
      </c>
      <c r="B22" s="83"/>
      <c r="C22" s="8" t="s">
        <v>28</v>
      </c>
      <c r="D22" s="29" t="s">
        <v>20</v>
      </c>
      <c r="E22" s="30">
        <v>12</v>
      </c>
      <c r="F22" s="8">
        <v>875</v>
      </c>
      <c r="G22" s="14"/>
      <c r="H22" s="15"/>
      <c r="I22" s="15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1">
        <f t="shared" si="0"/>
        <v>12</v>
      </c>
      <c r="AA22" s="57"/>
      <c r="AB22" s="57"/>
      <c r="AC22" s="57"/>
      <c r="AD22" s="57"/>
      <c r="AE22" s="57"/>
      <c r="AF22" s="57"/>
      <c r="AG22" s="57"/>
      <c r="AH22" s="57"/>
      <c r="AI22" s="57"/>
      <c r="AJ22" s="69"/>
      <c r="AK22" s="14"/>
      <c r="AL22" s="15"/>
      <c r="AM22" s="15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>
        <v>1</v>
      </c>
      <c r="BB22" s="57">
        <v>1</v>
      </c>
      <c r="BC22" s="57"/>
      <c r="BD22" s="57">
        <v>1</v>
      </c>
      <c r="BE22" s="57">
        <v>1</v>
      </c>
      <c r="BF22" s="57">
        <v>1</v>
      </c>
      <c r="BG22" s="57">
        <v>1</v>
      </c>
      <c r="BH22" s="57">
        <v>1</v>
      </c>
      <c r="BI22" s="57">
        <v>1</v>
      </c>
      <c r="BJ22" s="57"/>
      <c r="BK22" s="57">
        <v>1</v>
      </c>
      <c r="BL22" s="57">
        <v>1</v>
      </c>
      <c r="BM22" s="57">
        <v>1</v>
      </c>
      <c r="BN22" s="57">
        <v>1</v>
      </c>
      <c r="BO22" s="57"/>
      <c r="BP22" s="57"/>
      <c r="BQ22" s="15"/>
      <c r="BR22" s="15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</row>
    <row r="23" spans="1:97" ht="15" customHeight="1" x14ac:dyDescent="0.25">
      <c r="A23" s="8">
        <v>24</v>
      </c>
      <c r="B23" s="83"/>
      <c r="C23" s="8" t="s">
        <v>29</v>
      </c>
      <c r="D23" s="29" t="s">
        <v>20</v>
      </c>
      <c r="E23" s="30">
        <v>14</v>
      </c>
      <c r="F23" s="8">
        <v>954</v>
      </c>
      <c r="G23" s="14"/>
      <c r="H23" s="15"/>
      <c r="I23" s="15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11">
        <f t="shared" si="0"/>
        <v>14</v>
      </c>
      <c r="AA23" s="57"/>
      <c r="AB23" s="57"/>
      <c r="AC23" s="57"/>
      <c r="AD23" s="57"/>
      <c r="AE23" s="57"/>
      <c r="AF23" s="57"/>
      <c r="AG23" s="57"/>
      <c r="AH23" s="57"/>
      <c r="AI23" s="57"/>
      <c r="AJ23" s="69"/>
      <c r="AK23" s="14"/>
      <c r="AL23" s="15"/>
      <c r="AM23" s="15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>
        <v>1</v>
      </c>
      <c r="BB23" s="57">
        <v>1</v>
      </c>
      <c r="BC23" s="57"/>
      <c r="BD23" s="57">
        <v>1</v>
      </c>
      <c r="BE23" s="57">
        <v>1</v>
      </c>
      <c r="BF23" s="57">
        <v>1</v>
      </c>
      <c r="BG23" s="57">
        <v>1</v>
      </c>
      <c r="BH23" s="57">
        <v>1</v>
      </c>
      <c r="BI23" s="57">
        <v>1</v>
      </c>
      <c r="BJ23" s="57"/>
      <c r="BK23" s="57">
        <v>1</v>
      </c>
      <c r="BL23" s="57">
        <v>1</v>
      </c>
      <c r="BM23" s="57">
        <v>1</v>
      </c>
      <c r="BN23" s="57">
        <v>1</v>
      </c>
      <c r="BO23" s="57">
        <v>1</v>
      </c>
      <c r="BP23" s="57">
        <v>1</v>
      </c>
      <c r="BQ23" s="15"/>
      <c r="BR23" s="15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</row>
    <row r="24" spans="1:97" ht="15" customHeight="1" x14ac:dyDescent="0.25">
      <c r="A24" s="8">
        <v>25</v>
      </c>
      <c r="B24" s="83"/>
      <c r="C24" s="23" t="s">
        <v>30</v>
      </c>
      <c r="D24" s="24" t="s">
        <v>20</v>
      </c>
      <c r="E24" s="25">
        <v>2</v>
      </c>
      <c r="F24" s="8">
        <v>621</v>
      </c>
      <c r="G24" s="14"/>
      <c r="H24" s="15"/>
      <c r="I24" s="15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11">
        <f t="shared" si="0"/>
        <v>2</v>
      </c>
      <c r="AA24" s="57"/>
      <c r="AB24" s="57"/>
      <c r="AC24" s="57"/>
      <c r="AD24" s="57"/>
      <c r="AE24" s="57"/>
      <c r="AF24" s="57"/>
      <c r="AG24" s="57"/>
      <c r="AH24" s="57"/>
      <c r="AI24" s="57"/>
      <c r="AJ24" s="69"/>
      <c r="AK24" s="14"/>
      <c r="AL24" s="15"/>
      <c r="AM24" s="15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>
        <v>1</v>
      </c>
      <c r="AZ24" s="57">
        <v>1</v>
      </c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69"/>
      <c r="BP24" s="14"/>
      <c r="BQ24" s="15"/>
      <c r="BR24" s="15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</row>
    <row r="25" spans="1:97" ht="15" customHeight="1" x14ac:dyDescent="0.25">
      <c r="A25" s="8">
        <v>26</v>
      </c>
      <c r="B25" s="83"/>
      <c r="C25" s="26" t="s">
        <v>31</v>
      </c>
      <c r="D25" s="27" t="s">
        <v>20</v>
      </c>
      <c r="E25" s="28">
        <v>2</v>
      </c>
      <c r="F25" s="8">
        <v>939</v>
      </c>
      <c r="G25" s="14"/>
      <c r="H25" s="15"/>
      <c r="I25" s="15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11">
        <f t="shared" si="0"/>
        <v>2</v>
      </c>
      <c r="AA25" s="57"/>
      <c r="AB25" s="57"/>
      <c r="AC25" s="57"/>
      <c r="AD25" s="57"/>
      <c r="AE25" s="57"/>
      <c r="AF25" s="57"/>
      <c r="AG25" s="57"/>
      <c r="AH25" s="57"/>
      <c r="AI25" s="57"/>
      <c r="AJ25" s="69"/>
      <c r="AK25" s="14"/>
      <c r="AL25" s="15"/>
      <c r="AM25" s="15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>
        <v>1</v>
      </c>
      <c r="BB25" s="57">
        <v>1</v>
      </c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69"/>
      <c r="BP25" s="14"/>
      <c r="BQ25" s="15"/>
      <c r="BR25" s="15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</row>
    <row r="26" spans="1:97" ht="15" customHeight="1" x14ac:dyDescent="0.25">
      <c r="A26" s="8">
        <v>27</v>
      </c>
      <c r="B26" s="83"/>
      <c r="C26" s="26" t="s">
        <v>32</v>
      </c>
      <c r="D26" s="27" t="s">
        <v>20</v>
      </c>
      <c r="E26" s="28">
        <v>2</v>
      </c>
      <c r="F26" s="8">
        <v>939</v>
      </c>
      <c r="G26" s="14"/>
      <c r="H26" s="15"/>
      <c r="I26" s="15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11">
        <f t="shared" si="0"/>
        <v>2</v>
      </c>
      <c r="AA26" s="57"/>
      <c r="AB26" s="57"/>
      <c r="AC26" s="57"/>
      <c r="AD26" s="57"/>
      <c r="AE26" s="57"/>
      <c r="AF26" s="57"/>
      <c r="AG26" s="57"/>
      <c r="AH26" s="57"/>
      <c r="AI26" s="57"/>
      <c r="AJ26" s="69"/>
      <c r="AK26" s="14"/>
      <c r="AL26" s="15"/>
      <c r="AM26" s="15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>
        <v>1</v>
      </c>
      <c r="BE26" s="57">
        <v>1</v>
      </c>
      <c r="BF26" s="57"/>
      <c r="BG26" s="57"/>
      <c r="BH26" s="57"/>
      <c r="BI26" s="57"/>
      <c r="BJ26" s="57"/>
      <c r="BK26" s="57"/>
      <c r="BL26" s="57"/>
      <c r="BM26" s="57"/>
      <c r="BN26" s="57"/>
      <c r="BO26" s="69"/>
      <c r="BP26" s="14"/>
      <c r="BQ26" s="15"/>
      <c r="BR26" s="15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</row>
    <row r="27" spans="1:97" ht="15" customHeight="1" x14ac:dyDescent="0.25">
      <c r="A27" s="8">
        <v>28</v>
      </c>
      <c r="B27" s="83"/>
      <c r="C27" s="8" t="s">
        <v>33</v>
      </c>
      <c r="D27" s="29" t="s">
        <v>20</v>
      </c>
      <c r="E27" s="30">
        <v>2</v>
      </c>
      <c r="F27" s="8">
        <v>886</v>
      </c>
      <c r="G27" s="14"/>
      <c r="H27" s="15"/>
      <c r="I27" s="15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11">
        <f t="shared" si="0"/>
        <v>2</v>
      </c>
      <c r="AA27" s="57"/>
      <c r="AB27" s="57"/>
      <c r="AC27" s="57"/>
      <c r="AD27" s="57"/>
      <c r="AE27" s="57"/>
      <c r="AF27" s="57"/>
      <c r="AG27" s="57"/>
      <c r="AH27" s="57"/>
      <c r="AI27" s="57"/>
      <c r="AJ27" s="69"/>
      <c r="AK27" s="14"/>
      <c r="AL27" s="15"/>
      <c r="AM27" s="15"/>
      <c r="AN27" s="57"/>
      <c r="AO27" s="57"/>
      <c r="AP27" s="57"/>
      <c r="AQ27" s="57"/>
      <c r="AR27" s="57"/>
      <c r="AS27" s="57"/>
      <c r="AT27" s="57"/>
      <c r="AU27" s="57"/>
      <c r="AV27" s="57"/>
      <c r="AW27" s="57">
        <v>1</v>
      </c>
      <c r="AX27" s="57">
        <v>1</v>
      </c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69"/>
      <c r="BP27" s="14"/>
      <c r="BQ27" s="15"/>
      <c r="BR27" s="15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</row>
    <row r="28" spans="1:97" ht="15" customHeight="1" x14ac:dyDescent="0.25">
      <c r="A28" s="8">
        <v>29</v>
      </c>
      <c r="B28" s="83"/>
      <c r="C28" s="8" t="s">
        <v>34</v>
      </c>
      <c r="D28" s="29" t="s">
        <v>20</v>
      </c>
      <c r="E28" s="30">
        <v>2</v>
      </c>
      <c r="F28" s="8">
        <v>886</v>
      </c>
      <c r="G28" s="14"/>
      <c r="H28" s="15"/>
      <c r="I28" s="15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11">
        <f t="shared" si="0"/>
        <v>2</v>
      </c>
      <c r="AA28" s="57"/>
      <c r="AB28" s="57"/>
      <c r="AC28" s="57"/>
      <c r="AD28" s="57"/>
      <c r="AE28" s="57"/>
      <c r="AF28" s="57"/>
      <c r="AG28" s="57"/>
      <c r="AH28" s="57"/>
      <c r="AI28" s="57"/>
      <c r="AJ28" s="69"/>
      <c r="AK28" s="14"/>
      <c r="AL28" s="15"/>
      <c r="AM28" s="15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>
        <v>1</v>
      </c>
      <c r="AZ28" s="57">
        <v>1</v>
      </c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69"/>
      <c r="BP28" s="14"/>
      <c r="BQ28" s="15"/>
      <c r="BR28" s="15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</row>
    <row r="29" spans="1:97" ht="15" customHeight="1" x14ac:dyDescent="0.25">
      <c r="A29" s="8">
        <v>30</v>
      </c>
      <c r="B29" s="83"/>
      <c r="C29" s="8" t="s">
        <v>35</v>
      </c>
      <c r="D29" s="29" t="s">
        <v>20</v>
      </c>
      <c r="E29" s="30">
        <v>2</v>
      </c>
      <c r="F29" s="8">
        <v>1028</v>
      </c>
      <c r="G29" s="14"/>
      <c r="H29" s="15"/>
      <c r="I29" s="15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11">
        <f t="shared" si="0"/>
        <v>2</v>
      </c>
      <c r="AA29" s="57"/>
      <c r="AB29" s="57"/>
      <c r="AC29" s="57"/>
      <c r="AD29" s="57"/>
      <c r="AE29" s="57"/>
      <c r="AF29" s="57"/>
      <c r="AG29" s="57"/>
      <c r="AH29" s="57"/>
      <c r="AI29" s="57"/>
      <c r="AJ29" s="69"/>
      <c r="AK29" s="14"/>
      <c r="AL29" s="15"/>
      <c r="AM29" s="15"/>
      <c r="AN29" s="57"/>
      <c r="AO29" s="57"/>
      <c r="AP29" s="57"/>
      <c r="AQ29" s="57"/>
      <c r="AR29" s="57"/>
      <c r="AS29" s="57"/>
      <c r="AT29" s="57"/>
      <c r="AU29" s="57"/>
      <c r="AV29" s="57"/>
      <c r="AW29" s="57">
        <v>1</v>
      </c>
      <c r="AX29" s="57">
        <v>1</v>
      </c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69"/>
      <c r="BP29" s="14"/>
      <c r="BQ29" s="15"/>
      <c r="BR29" s="15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</row>
    <row r="30" spans="1:97" ht="15" customHeight="1" x14ac:dyDescent="0.25">
      <c r="A30" s="8">
        <v>31</v>
      </c>
      <c r="B30" s="83"/>
      <c r="C30" s="8" t="s">
        <v>36</v>
      </c>
      <c r="D30" s="29" t="s">
        <v>20</v>
      </c>
      <c r="E30" s="30">
        <v>2</v>
      </c>
      <c r="F30" s="8">
        <v>1028</v>
      </c>
      <c r="G30" s="14"/>
      <c r="H30" s="15"/>
      <c r="I30" s="15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11">
        <f t="shared" si="0"/>
        <v>2</v>
      </c>
      <c r="AA30" s="57"/>
      <c r="AB30" s="57"/>
      <c r="AC30" s="57"/>
      <c r="AD30" s="57"/>
      <c r="AE30" s="57"/>
      <c r="AF30" s="57"/>
      <c r="AG30" s="57"/>
      <c r="AH30" s="57"/>
      <c r="AI30" s="57"/>
      <c r="AJ30" s="69"/>
      <c r="AK30" s="14"/>
      <c r="AL30" s="15"/>
      <c r="AM30" s="15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>
        <v>1</v>
      </c>
      <c r="AZ30" s="57">
        <v>1</v>
      </c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69"/>
      <c r="BP30" s="14"/>
      <c r="BQ30" s="15"/>
      <c r="BR30" s="15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</row>
    <row r="31" spans="1:97" ht="15" customHeight="1" x14ac:dyDescent="0.25">
      <c r="A31" s="8">
        <v>32</v>
      </c>
      <c r="B31" s="83"/>
      <c r="C31" s="8" t="s">
        <v>37</v>
      </c>
      <c r="D31" s="29" t="s">
        <v>20</v>
      </c>
      <c r="E31" s="30">
        <v>26</v>
      </c>
      <c r="F31" s="8">
        <v>606</v>
      </c>
      <c r="G31" s="14"/>
      <c r="H31" s="15"/>
      <c r="I31" s="15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11">
        <f t="shared" si="0"/>
        <v>26</v>
      </c>
      <c r="AA31" s="57"/>
      <c r="AB31" s="57"/>
      <c r="AC31" s="57"/>
      <c r="AD31" s="57"/>
      <c r="AE31" s="57"/>
      <c r="AF31" s="57"/>
      <c r="AG31" s="57"/>
      <c r="AH31" s="57"/>
      <c r="AI31" s="57"/>
      <c r="AJ31" s="69"/>
      <c r="AK31" s="14"/>
      <c r="AL31" s="15"/>
      <c r="AM31" s="15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>
        <v>1</v>
      </c>
      <c r="BB31" s="57">
        <v>1</v>
      </c>
      <c r="BC31" s="57"/>
      <c r="BD31" s="57">
        <v>1</v>
      </c>
      <c r="BE31" s="57">
        <v>1</v>
      </c>
      <c r="BF31" s="57">
        <v>1</v>
      </c>
      <c r="BG31" s="57">
        <v>1</v>
      </c>
      <c r="BH31" s="57">
        <v>1</v>
      </c>
      <c r="BI31" s="57">
        <v>1</v>
      </c>
      <c r="BJ31" s="57"/>
      <c r="BK31" s="57">
        <v>1</v>
      </c>
      <c r="BL31" s="57">
        <v>1</v>
      </c>
      <c r="BM31" s="57">
        <v>1</v>
      </c>
      <c r="BN31" s="57">
        <v>1</v>
      </c>
      <c r="BO31" s="69">
        <v>1</v>
      </c>
      <c r="BP31" s="14">
        <v>1</v>
      </c>
      <c r="BQ31" s="15"/>
      <c r="BR31" s="15">
        <v>2</v>
      </c>
      <c r="BS31" s="57">
        <v>2</v>
      </c>
      <c r="BT31" s="57">
        <v>2</v>
      </c>
      <c r="BU31" s="57">
        <v>2</v>
      </c>
      <c r="BV31" s="57">
        <v>2</v>
      </c>
      <c r="BW31" s="57">
        <v>2</v>
      </c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</row>
    <row r="32" spans="1:97" ht="15" customHeight="1" x14ac:dyDescent="0.25">
      <c r="A32" s="8">
        <v>33</v>
      </c>
      <c r="B32" s="83"/>
      <c r="C32" s="31" t="s">
        <v>38</v>
      </c>
      <c r="D32" s="32" t="s">
        <v>20</v>
      </c>
      <c r="E32" s="33">
        <v>6</v>
      </c>
      <c r="F32" s="8">
        <v>809</v>
      </c>
      <c r="G32" s="14"/>
      <c r="H32" s="15"/>
      <c r="I32" s="15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11">
        <f t="shared" si="0"/>
        <v>6</v>
      </c>
      <c r="AA32" s="57"/>
      <c r="AB32" s="57"/>
      <c r="AC32" s="57"/>
      <c r="AD32" s="57"/>
      <c r="AE32" s="57"/>
      <c r="AF32" s="57"/>
      <c r="AG32" s="57"/>
      <c r="AH32" s="57"/>
      <c r="AI32" s="57"/>
      <c r="AJ32" s="69"/>
      <c r="AK32" s="14"/>
      <c r="AL32" s="15"/>
      <c r="AM32" s="15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>
        <v>1</v>
      </c>
      <c r="BB32" s="57">
        <v>1</v>
      </c>
      <c r="BC32" s="57"/>
      <c r="BD32" s="57">
        <v>1</v>
      </c>
      <c r="BE32" s="57">
        <v>1</v>
      </c>
      <c r="BF32" s="57">
        <v>1</v>
      </c>
      <c r="BG32" s="57">
        <v>1</v>
      </c>
      <c r="BH32" s="57"/>
      <c r="BI32" s="57"/>
      <c r="BJ32" s="57"/>
      <c r="BK32" s="57"/>
      <c r="BL32" s="57"/>
      <c r="BM32" s="57"/>
      <c r="BN32" s="57"/>
      <c r="BO32" s="69"/>
      <c r="BP32" s="14"/>
      <c r="BQ32" s="15"/>
      <c r="BR32" s="15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</row>
    <row r="33" spans="1:97" ht="15" customHeight="1" x14ac:dyDescent="0.25">
      <c r="A33" s="8">
        <v>34</v>
      </c>
      <c r="B33" s="83"/>
      <c r="C33" s="31" t="s">
        <v>39</v>
      </c>
      <c r="D33" s="32" t="s">
        <v>20</v>
      </c>
      <c r="E33" s="33">
        <v>4</v>
      </c>
      <c r="F33" s="8">
        <v>745</v>
      </c>
      <c r="G33" s="14"/>
      <c r="H33" s="15"/>
      <c r="I33" s="15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11">
        <f t="shared" si="0"/>
        <v>4</v>
      </c>
      <c r="AA33" s="57"/>
      <c r="AB33" s="57"/>
      <c r="AC33" s="57"/>
      <c r="AD33" s="57"/>
      <c r="AE33" s="57"/>
      <c r="AF33" s="57"/>
      <c r="AG33" s="57"/>
      <c r="AH33" s="57"/>
      <c r="AI33" s="57"/>
      <c r="AJ33" s="69"/>
      <c r="AK33" s="14"/>
      <c r="AL33" s="15"/>
      <c r="AM33" s="15"/>
      <c r="AN33" s="57"/>
      <c r="AO33" s="57"/>
      <c r="AP33" s="57"/>
      <c r="AQ33" s="57"/>
      <c r="AR33" s="57"/>
      <c r="AS33" s="57"/>
      <c r="AT33" s="57"/>
      <c r="AU33" s="57"/>
      <c r="AV33" s="57"/>
      <c r="AW33" s="57">
        <v>1</v>
      </c>
      <c r="AX33" s="57">
        <v>1</v>
      </c>
      <c r="AY33" s="57">
        <v>1</v>
      </c>
      <c r="AZ33" s="57">
        <v>1</v>
      </c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69"/>
      <c r="BP33" s="14"/>
      <c r="BQ33" s="15"/>
      <c r="BR33" s="15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</row>
    <row r="34" spans="1:97" ht="15" customHeight="1" x14ac:dyDescent="0.25">
      <c r="A34" s="8">
        <v>35</v>
      </c>
      <c r="B34" s="83"/>
      <c r="C34" s="8" t="s">
        <v>40</v>
      </c>
      <c r="D34" s="29" t="s">
        <v>20</v>
      </c>
      <c r="E34" s="30">
        <v>2</v>
      </c>
      <c r="F34" s="8">
        <v>639</v>
      </c>
      <c r="G34" s="14"/>
      <c r="H34" s="15"/>
      <c r="I34" s="15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11">
        <f t="shared" si="0"/>
        <v>2</v>
      </c>
      <c r="AA34" s="57"/>
      <c r="AB34" s="57"/>
      <c r="AC34" s="57"/>
      <c r="AD34" s="57"/>
      <c r="AE34" s="57"/>
      <c r="AF34" s="57"/>
      <c r="AG34" s="57"/>
      <c r="AH34" s="57"/>
      <c r="AI34" s="57"/>
      <c r="AJ34" s="69"/>
      <c r="AK34" s="14"/>
      <c r="AL34" s="15"/>
      <c r="AM34" s="15"/>
      <c r="AN34" s="57"/>
      <c r="AO34" s="57"/>
      <c r="AP34" s="57"/>
      <c r="AQ34" s="57"/>
      <c r="AR34" s="57"/>
      <c r="AS34" s="57"/>
      <c r="AT34" s="57"/>
      <c r="AU34" s="57"/>
      <c r="AV34" s="57"/>
      <c r="AW34" s="57">
        <v>1</v>
      </c>
      <c r="AX34" s="57">
        <v>1</v>
      </c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69"/>
      <c r="BP34" s="14"/>
      <c r="BQ34" s="15"/>
      <c r="BR34" s="15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</row>
    <row r="35" spans="1:97" ht="15" customHeight="1" x14ac:dyDescent="0.25">
      <c r="A35" s="8">
        <v>36</v>
      </c>
      <c r="B35" s="83"/>
      <c r="C35" s="8" t="s">
        <v>41</v>
      </c>
      <c r="D35" s="29" t="s">
        <v>20</v>
      </c>
      <c r="E35" s="30">
        <v>2</v>
      </c>
      <c r="F35" s="8">
        <v>639</v>
      </c>
      <c r="G35" s="14"/>
      <c r="H35" s="15"/>
      <c r="I35" s="15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11">
        <f t="shared" si="0"/>
        <v>2</v>
      </c>
      <c r="AA35" s="57"/>
      <c r="AB35" s="57"/>
      <c r="AC35" s="57"/>
      <c r="AD35" s="57"/>
      <c r="AE35" s="57"/>
      <c r="AF35" s="57"/>
      <c r="AG35" s="57"/>
      <c r="AH35" s="57"/>
      <c r="AI35" s="57"/>
      <c r="AJ35" s="69"/>
      <c r="AK35" s="14"/>
      <c r="AL35" s="15"/>
      <c r="AM35" s="15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>
        <v>1</v>
      </c>
      <c r="AZ35" s="57">
        <v>1</v>
      </c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69"/>
      <c r="BP35" s="14"/>
      <c r="BQ35" s="15"/>
      <c r="BR35" s="15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</row>
    <row r="36" spans="1:97" ht="15" customHeight="1" x14ac:dyDescent="0.25">
      <c r="A36" s="8">
        <v>37</v>
      </c>
      <c r="B36" s="83"/>
      <c r="C36" s="8" t="s">
        <v>42</v>
      </c>
      <c r="D36" s="29" t="s">
        <v>20</v>
      </c>
      <c r="E36" s="30">
        <v>12</v>
      </c>
      <c r="F36" s="8">
        <v>645</v>
      </c>
      <c r="G36" s="14"/>
      <c r="H36" s="15"/>
      <c r="I36" s="15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11">
        <f t="shared" si="0"/>
        <v>12</v>
      </c>
      <c r="AA36" s="57"/>
      <c r="AB36" s="57"/>
      <c r="AC36" s="57"/>
      <c r="AD36" s="57"/>
      <c r="AE36" s="57"/>
      <c r="AF36" s="57"/>
      <c r="AG36" s="57"/>
      <c r="AH36" s="57"/>
      <c r="AI36" s="57"/>
      <c r="AJ36" s="69"/>
      <c r="AK36" s="14"/>
      <c r="AL36" s="15"/>
      <c r="AM36" s="15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>
        <v>1</v>
      </c>
      <c r="BB36" s="57">
        <v>1</v>
      </c>
      <c r="BC36" s="57"/>
      <c r="BD36" s="57">
        <v>1</v>
      </c>
      <c r="BE36" s="57">
        <v>1</v>
      </c>
      <c r="BF36" s="57">
        <v>1</v>
      </c>
      <c r="BG36" s="57">
        <v>1</v>
      </c>
      <c r="BH36" s="57">
        <v>1</v>
      </c>
      <c r="BI36" s="57">
        <v>1</v>
      </c>
      <c r="BJ36" s="57"/>
      <c r="BK36" s="57">
        <v>1</v>
      </c>
      <c r="BL36" s="57">
        <v>1</v>
      </c>
      <c r="BM36" s="57">
        <v>1</v>
      </c>
      <c r="BN36" s="57">
        <v>1</v>
      </c>
      <c r="BO36" s="57"/>
      <c r="BP36" s="57"/>
      <c r="BQ36" s="15"/>
      <c r="BR36" s="15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</row>
    <row r="37" spans="1:97" ht="15" customHeight="1" x14ac:dyDescent="0.25">
      <c r="A37" s="8">
        <v>38</v>
      </c>
      <c r="B37" s="83"/>
      <c r="C37" s="8" t="s">
        <v>43</v>
      </c>
      <c r="D37" s="29" t="s">
        <v>20</v>
      </c>
      <c r="E37" s="30">
        <v>14</v>
      </c>
      <c r="F37" s="8">
        <v>627</v>
      </c>
      <c r="G37" s="14"/>
      <c r="H37" s="15"/>
      <c r="I37" s="15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11">
        <f t="shared" si="0"/>
        <v>14</v>
      </c>
      <c r="AA37" s="57"/>
      <c r="AB37" s="57"/>
      <c r="AC37" s="57"/>
      <c r="AD37" s="57"/>
      <c r="AE37" s="57"/>
      <c r="AF37" s="57"/>
      <c r="AG37" s="57"/>
      <c r="AH37" s="57"/>
      <c r="AI37" s="57"/>
      <c r="AJ37" s="69"/>
      <c r="AK37" s="14"/>
      <c r="AL37" s="15"/>
      <c r="AM37" s="15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>
        <v>1</v>
      </c>
      <c r="BB37" s="57">
        <v>1</v>
      </c>
      <c r="BC37" s="57"/>
      <c r="BD37" s="57">
        <v>1</v>
      </c>
      <c r="BE37" s="57">
        <v>1</v>
      </c>
      <c r="BF37" s="57">
        <v>1</v>
      </c>
      <c r="BG37" s="57">
        <v>1</v>
      </c>
      <c r="BH37" s="57">
        <v>1</v>
      </c>
      <c r="BI37" s="57">
        <v>1</v>
      </c>
      <c r="BJ37" s="57"/>
      <c r="BK37" s="57">
        <v>1</v>
      </c>
      <c r="BL37" s="57">
        <v>1</v>
      </c>
      <c r="BM37" s="57">
        <v>1</v>
      </c>
      <c r="BN37" s="57">
        <v>1</v>
      </c>
      <c r="BO37" s="57">
        <v>1</v>
      </c>
      <c r="BP37" s="57">
        <v>1</v>
      </c>
      <c r="BQ37" s="15"/>
      <c r="BR37" s="15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</row>
    <row r="38" spans="1:97" ht="15" customHeight="1" x14ac:dyDescent="0.25">
      <c r="A38" s="8">
        <v>39</v>
      </c>
      <c r="B38" s="83"/>
      <c r="C38" s="8" t="s">
        <v>44</v>
      </c>
      <c r="D38" s="29" t="s">
        <v>20</v>
      </c>
      <c r="E38" s="30">
        <v>20</v>
      </c>
      <c r="F38" s="8">
        <v>452</v>
      </c>
      <c r="G38" s="14"/>
      <c r="H38" s="15"/>
      <c r="I38" s="1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11">
        <f t="shared" si="0"/>
        <v>20</v>
      </c>
      <c r="AA38" s="57"/>
      <c r="AB38" s="57"/>
      <c r="AC38" s="57"/>
      <c r="AD38" s="57"/>
      <c r="AE38" s="57"/>
      <c r="AF38" s="57"/>
      <c r="AG38" s="57"/>
      <c r="AH38" s="57"/>
      <c r="AI38" s="57"/>
      <c r="AJ38" s="69"/>
      <c r="AK38" s="14"/>
      <c r="AL38" s="15"/>
      <c r="AM38" s="15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>
        <v>1</v>
      </c>
      <c r="BB38" s="57">
        <v>1</v>
      </c>
      <c r="BC38" s="57"/>
      <c r="BD38" s="57">
        <v>1</v>
      </c>
      <c r="BE38" s="57">
        <v>1</v>
      </c>
      <c r="BF38" s="57">
        <v>1</v>
      </c>
      <c r="BG38" s="57">
        <v>1</v>
      </c>
      <c r="BH38" s="57">
        <v>1</v>
      </c>
      <c r="BI38" s="57">
        <v>1</v>
      </c>
      <c r="BJ38" s="57"/>
      <c r="BK38" s="57">
        <v>1</v>
      </c>
      <c r="BL38" s="57">
        <v>1</v>
      </c>
      <c r="BM38" s="57">
        <v>1</v>
      </c>
      <c r="BN38" s="57">
        <v>1</v>
      </c>
      <c r="BO38" s="57">
        <v>1</v>
      </c>
      <c r="BP38" s="57">
        <v>1</v>
      </c>
      <c r="BQ38" s="15"/>
      <c r="BR38" s="15">
        <v>1</v>
      </c>
      <c r="BS38" s="15">
        <v>1</v>
      </c>
      <c r="BT38" s="15">
        <v>1</v>
      </c>
      <c r="BU38" s="15">
        <v>1</v>
      </c>
      <c r="BV38" s="15">
        <v>1</v>
      </c>
      <c r="BW38" s="15">
        <v>1</v>
      </c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</row>
    <row r="39" spans="1:97" ht="15" customHeight="1" x14ac:dyDescent="0.25">
      <c r="A39" s="16">
        <v>41</v>
      </c>
      <c r="B39" s="84"/>
      <c r="C39" s="16" t="s">
        <v>45</v>
      </c>
      <c r="D39" s="34" t="s">
        <v>20</v>
      </c>
      <c r="E39" s="35">
        <v>20</v>
      </c>
      <c r="F39" s="16">
        <v>405</v>
      </c>
      <c r="G39" s="36"/>
      <c r="H39" s="37"/>
      <c r="I39" s="37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11">
        <f t="shared" si="0"/>
        <v>20</v>
      </c>
      <c r="AA39" s="58"/>
      <c r="AB39" s="58"/>
      <c r="AC39" s="58"/>
      <c r="AD39" s="58"/>
      <c r="AE39" s="58"/>
      <c r="AF39" s="58"/>
      <c r="AG39" s="58"/>
      <c r="AH39" s="58"/>
      <c r="AI39" s="58"/>
      <c r="AJ39" s="55"/>
      <c r="AK39" s="36"/>
      <c r="AL39" s="37"/>
      <c r="AM39" s="37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>
        <v>1</v>
      </c>
      <c r="BB39" s="58">
        <v>1</v>
      </c>
      <c r="BC39" s="58"/>
      <c r="BD39" s="58">
        <v>1</v>
      </c>
      <c r="BE39" s="58">
        <v>1</v>
      </c>
      <c r="BF39" s="58">
        <v>1</v>
      </c>
      <c r="BG39" s="58">
        <v>1</v>
      </c>
      <c r="BH39" s="58">
        <v>1</v>
      </c>
      <c r="BI39" s="58">
        <v>1</v>
      </c>
      <c r="BJ39" s="58"/>
      <c r="BK39" s="58">
        <v>1</v>
      </c>
      <c r="BL39" s="58">
        <v>1</v>
      </c>
      <c r="BM39" s="58">
        <v>1</v>
      </c>
      <c r="BN39" s="58">
        <v>1</v>
      </c>
      <c r="BO39" s="58">
        <v>1</v>
      </c>
      <c r="BP39" s="58">
        <v>1</v>
      </c>
      <c r="BQ39" s="37"/>
      <c r="BR39" s="37">
        <v>1</v>
      </c>
      <c r="BS39" s="37">
        <v>1</v>
      </c>
      <c r="BT39" s="37">
        <v>1</v>
      </c>
      <c r="BU39" s="37">
        <v>1</v>
      </c>
      <c r="BV39" s="37">
        <v>1</v>
      </c>
      <c r="BW39" s="37">
        <v>1</v>
      </c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</row>
    <row r="40" spans="1:97" ht="15" customHeight="1" x14ac:dyDescent="0.25">
      <c r="A40" s="4">
        <v>42</v>
      </c>
      <c r="B40" s="85" t="s">
        <v>46</v>
      </c>
      <c r="C40" s="4" t="s">
        <v>47</v>
      </c>
      <c r="D40" s="38" t="s">
        <v>20</v>
      </c>
      <c r="E40" s="4">
        <v>44</v>
      </c>
      <c r="F40" s="4">
        <v>505</v>
      </c>
      <c r="G40" s="39"/>
      <c r="H40" s="40"/>
      <c r="I40" s="40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11">
        <f t="shared" si="0"/>
        <v>44</v>
      </c>
      <c r="AA40" s="59"/>
      <c r="AB40" s="59"/>
      <c r="AC40" s="59"/>
      <c r="AD40" s="59"/>
      <c r="AE40" s="59"/>
      <c r="AF40" s="59"/>
      <c r="AG40" s="59"/>
      <c r="AH40" s="59"/>
      <c r="AI40" s="59"/>
      <c r="AJ40" s="70"/>
      <c r="AK40" s="39"/>
      <c r="AL40" s="40"/>
      <c r="AM40" s="40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>
        <v>2</v>
      </c>
      <c r="BB40" s="59">
        <v>2</v>
      </c>
      <c r="BC40" s="59"/>
      <c r="BD40" s="59">
        <v>2</v>
      </c>
      <c r="BE40" s="59">
        <v>2</v>
      </c>
      <c r="BF40" s="59">
        <v>2</v>
      </c>
      <c r="BG40" s="59">
        <v>2</v>
      </c>
      <c r="BH40" s="59">
        <v>2</v>
      </c>
      <c r="BI40" s="59">
        <v>2</v>
      </c>
      <c r="BJ40" s="59"/>
      <c r="BK40" s="59">
        <v>2</v>
      </c>
      <c r="BL40" s="59">
        <v>2</v>
      </c>
      <c r="BM40" s="59">
        <v>2</v>
      </c>
      <c r="BN40" s="59">
        <v>2</v>
      </c>
      <c r="BO40" s="59">
        <v>2</v>
      </c>
      <c r="BP40" s="59">
        <v>2</v>
      </c>
      <c r="BQ40" s="59"/>
      <c r="BR40" s="40">
        <v>2</v>
      </c>
      <c r="BS40" s="40">
        <v>2</v>
      </c>
      <c r="BT40" s="40">
        <v>2</v>
      </c>
      <c r="BU40" s="40">
        <v>2</v>
      </c>
      <c r="BV40" s="40">
        <v>2</v>
      </c>
      <c r="BW40" s="40">
        <v>2</v>
      </c>
      <c r="BX40" s="59"/>
      <c r="BY40" s="59">
        <v>2</v>
      </c>
      <c r="BZ40" s="59">
        <v>2</v>
      </c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</row>
    <row r="41" spans="1:97" ht="15" customHeight="1" x14ac:dyDescent="0.25">
      <c r="A41" s="8">
        <v>43</v>
      </c>
      <c r="B41" s="86"/>
      <c r="C41" s="8" t="s">
        <v>48</v>
      </c>
      <c r="D41" s="41" t="s">
        <v>20</v>
      </c>
      <c r="E41" s="8">
        <v>44</v>
      </c>
      <c r="F41" s="8">
        <v>172</v>
      </c>
      <c r="G41" s="14"/>
      <c r="H41" s="15"/>
      <c r="I41" s="15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11">
        <f t="shared" si="0"/>
        <v>44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69"/>
      <c r="AK41" s="14"/>
      <c r="AL41" s="15"/>
      <c r="AM41" s="15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>
        <v>2</v>
      </c>
      <c r="BB41" s="57">
        <v>2</v>
      </c>
      <c r="BC41" s="57"/>
      <c r="BD41" s="57">
        <v>2</v>
      </c>
      <c r="BE41" s="57">
        <v>2</v>
      </c>
      <c r="BF41" s="57">
        <v>2</v>
      </c>
      <c r="BG41" s="57">
        <v>2</v>
      </c>
      <c r="BH41" s="57">
        <v>2</v>
      </c>
      <c r="BI41" s="57">
        <v>2</v>
      </c>
      <c r="BJ41" s="57"/>
      <c r="BK41" s="57">
        <v>2</v>
      </c>
      <c r="BL41" s="57">
        <v>2</v>
      </c>
      <c r="BM41" s="57">
        <v>2</v>
      </c>
      <c r="BN41" s="57">
        <v>2</v>
      </c>
      <c r="BO41" s="57">
        <v>2</v>
      </c>
      <c r="BP41" s="57">
        <v>2</v>
      </c>
      <c r="BQ41" s="57"/>
      <c r="BR41" s="15">
        <v>2</v>
      </c>
      <c r="BS41" s="15">
        <v>2</v>
      </c>
      <c r="BT41" s="15">
        <v>2</v>
      </c>
      <c r="BU41" s="15">
        <v>2</v>
      </c>
      <c r="BV41" s="15">
        <v>2</v>
      </c>
      <c r="BW41" s="15">
        <v>2</v>
      </c>
      <c r="BX41" s="57"/>
      <c r="BY41" s="57">
        <v>2</v>
      </c>
      <c r="BZ41" s="57">
        <v>2</v>
      </c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</row>
    <row r="42" spans="1:97" ht="15" customHeight="1" x14ac:dyDescent="0.25">
      <c r="A42" s="8">
        <v>44</v>
      </c>
      <c r="B42" s="86"/>
      <c r="C42" s="8" t="s">
        <v>49</v>
      </c>
      <c r="D42" s="41" t="s">
        <v>20</v>
      </c>
      <c r="E42" s="8">
        <v>44</v>
      </c>
      <c r="F42" s="8">
        <v>257</v>
      </c>
      <c r="G42" s="14"/>
      <c r="H42" s="15"/>
      <c r="I42" s="15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11">
        <f t="shared" si="0"/>
        <v>44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69"/>
      <c r="AK42" s="14"/>
      <c r="AL42" s="15"/>
      <c r="AM42" s="15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>
        <v>2</v>
      </c>
      <c r="BB42" s="57">
        <v>2</v>
      </c>
      <c r="BC42" s="57"/>
      <c r="BD42" s="57">
        <v>2</v>
      </c>
      <c r="BE42" s="57">
        <v>2</v>
      </c>
      <c r="BF42" s="57">
        <v>2</v>
      </c>
      <c r="BG42" s="57">
        <v>2</v>
      </c>
      <c r="BH42" s="57">
        <v>2</v>
      </c>
      <c r="BI42" s="57">
        <v>2</v>
      </c>
      <c r="BJ42" s="57"/>
      <c r="BK42" s="57">
        <v>2</v>
      </c>
      <c r="BL42" s="57">
        <v>2</v>
      </c>
      <c r="BM42" s="57">
        <v>2</v>
      </c>
      <c r="BN42" s="57">
        <v>2</v>
      </c>
      <c r="BO42" s="57">
        <v>2</v>
      </c>
      <c r="BP42" s="57">
        <v>2</v>
      </c>
      <c r="BQ42" s="57"/>
      <c r="BR42" s="15">
        <v>2</v>
      </c>
      <c r="BS42" s="15">
        <v>2</v>
      </c>
      <c r="BT42" s="15">
        <v>2</v>
      </c>
      <c r="BU42" s="15">
        <v>2</v>
      </c>
      <c r="BV42" s="15">
        <v>2</v>
      </c>
      <c r="BW42" s="15">
        <v>2</v>
      </c>
      <c r="BX42" s="57"/>
      <c r="BY42" s="57">
        <v>2</v>
      </c>
      <c r="BZ42" s="57">
        <v>2</v>
      </c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</row>
    <row r="43" spans="1:97" ht="15" customHeight="1" x14ac:dyDescent="0.25">
      <c r="A43" s="8">
        <v>45</v>
      </c>
      <c r="B43" s="86"/>
      <c r="C43" s="8" t="s">
        <v>50</v>
      </c>
      <c r="D43" s="41" t="s">
        <v>20</v>
      </c>
      <c r="E43" s="8">
        <v>22</v>
      </c>
      <c r="F43" s="8">
        <v>1172</v>
      </c>
      <c r="G43" s="14"/>
      <c r="H43" s="15"/>
      <c r="I43" s="15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11">
        <f t="shared" si="0"/>
        <v>22</v>
      </c>
      <c r="AA43" s="57"/>
      <c r="AB43" s="57"/>
      <c r="AC43" s="57"/>
      <c r="AD43" s="57"/>
      <c r="AE43" s="57"/>
      <c r="AF43" s="57"/>
      <c r="AG43" s="57"/>
      <c r="AH43" s="57"/>
      <c r="AI43" s="57"/>
      <c r="AJ43" s="69"/>
      <c r="AK43" s="14"/>
      <c r="AL43" s="15"/>
      <c r="AM43" s="15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>
        <v>1</v>
      </c>
      <c r="BB43" s="57">
        <v>1</v>
      </c>
      <c r="BC43" s="57"/>
      <c r="BD43" s="57">
        <v>1</v>
      </c>
      <c r="BE43" s="57">
        <v>1</v>
      </c>
      <c r="BF43" s="57">
        <v>1</v>
      </c>
      <c r="BG43" s="57">
        <v>1</v>
      </c>
      <c r="BH43" s="57">
        <v>1</v>
      </c>
      <c r="BI43" s="57">
        <v>1</v>
      </c>
      <c r="BJ43" s="57"/>
      <c r="BK43" s="57">
        <v>1</v>
      </c>
      <c r="BL43" s="57">
        <v>1</v>
      </c>
      <c r="BM43" s="57">
        <v>1</v>
      </c>
      <c r="BN43" s="57">
        <v>1</v>
      </c>
      <c r="BO43" s="57">
        <v>1</v>
      </c>
      <c r="BP43" s="57">
        <v>1</v>
      </c>
      <c r="BQ43" s="57"/>
      <c r="BR43" s="15">
        <v>1</v>
      </c>
      <c r="BS43" s="15">
        <v>1</v>
      </c>
      <c r="BT43" s="15">
        <v>1</v>
      </c>
      <c r="BU43" s="15">
        <v>1</v>
      </c>
      <c r="BV43" s="15">
        <v>1</v>
      </c>
      <c r="BW43" s="15">
        <v>1</v>
      </c>
      <c r="BX43" s="57"/>
      <c r="BY43" s="57">
        <v>1</v>
      </c>
      <c r="BZ43" s="57">
        <v>1</v>
      </c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</row>
    <row r="44" spans="1:97" ht="15" customHeight="1" x14ac:dyDescent="0.25">
      <c r="A44" s="8">
        <v>46</v>
      </c>
      <c r="B44" s="86"/>
      <c r="C44" s="8" t="s">
        <v>51</v>
      </c>
      <c r="D44" s="41" t="s">
        <v>20</v>
      </c>
      <c r="E44" s="8">
        <v>22</v>
      </c>
      <c r="F44" s="8">
        <v>573</v>
      </c>
      <c r="G44" s="14"/>
      <c r="H44" s="15"/>
      <c r="I44" s="15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11">
        <f t="shared" si="0"/>
        <v>22</v>
      </c>
      <c r="AA44" s="57"/>
      <c r="AB44" s="57"/>
      <c r="AC44" s="57"/>
      <c r="AD44" s="57"/>
      <c r="AE44" s="57"/>
      <c r="AF44" s="57"/>
      <c r="AG44" s="57"/>
      <c r="AH44" s="57"/>
      <c r="AI44" s="57"/>
      <c r="AJ44" s="69"/>
      <c r="AK44" s="14"/>
      <c r="AL44" s="15"/>
      <c r="AM44" s="15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>
        <v>1</v>
      </c>
      <c r="BB44" s="57">
        <v>1</v>
      </c>
      <c r="BC44" s="57"/>
      <c r="BD44" s="57">
        <v>1</v>
      </c>
      <c r="BE44" s="57">
        <v>1</v>
      </c>
      <c r="BF44" s="57">
        <v>1</v>
      </c>
      <c r="BG44" s="57">
        <v>1</v>
      </c>
      <c r="BH44" s="57">
        <v>1</v>
      </c>
      <c r="BI44" s="57">
        <v>1</v>
      </c>
      <c r="BJ44" s="57"/>
      <c r="BK44" s="57">
        <v>1</v>
      </c>
      <c r="BL44" s="57">
        <v>1</v>
      </c>
      <c r="BM44" s="57">
        <v>1</v>
      </c>
      <c r="BN44" s="57">
        <v>1</v>
      </c>
      <c r="BO44" s="57">
        <v>1</v>
      </c>
      <c r="BP44" s="57">
        <v>1</v>
      </c>
      <c r="BQ44" s="57"/>
      <c r="BR44" s="15">
        <v>1</v>
      </c>
      <c r="BS44" s="15">
        <v>1</v>
      </c>
      <c r="BT44" s="15">
        <v>1</v>
      </c>
      <c r="BU44" s="15">
        <v>1</v>
      </c>
      <c r="BV44" s="15">
        <v>1</v>
      </c>
      <c r="BW44" s="15">
        <v>1</v>
      </c>
      <c r="BX44" s="57"/>
      <c r="BY44" s="57">
        <v>1</v>
      </c>
      <c r="BZ44" s="57">
        <v>1</v>
      </c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</row>
    <row r="45" spans="1:97" ht="15" customHeight="1" x14ac:dyDescent="0.25">
      <c r="A45" s="8">
        <v>47</v>
      </c>
      <c r="B45" s="86"/>
      <c r="C45" s="8" t="s">
        <v>52</v>
      </c>
      <c r="D45" s="41" t="s">
        <v>20</v>
      </c>
      <c r="E45" s="8">
        <v>22</v>
      </c>
      <c r="F45" s="8">
        <v>1050</v>
      </c>
      <c r="G45" s="14"/>
      <c r="H45" s="15"/>
      <c r="I45" s="15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11">
        <f t="shared" si="0"/>
        <v>22</v>
      </c>
      <c r="AA45" s="57"/>
      <c r="AB45" s="57"/>
      <c r="AC45" s="57"/>
      <c r="AD45" s="57"/>
      <c r="AE45" s="57"/>
      <c r="AF45" s="57"/>
      <c r="AG45" s="57"/>
      <c r="AH45" s="57"/>
      <c r="AI45" s="57"/>
      <c r="AJ45" s="69"/>
      <c r="AK45" s="14"/>
      <c r="AL45" s="15"/>
      <c r="AM45" s="15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>
        <v>1</v>
      </c>
      <c r="BB45" s="57">
        <v>1</v>
      </c>
      <c r="BC45" s="57"/>
      <c r="BD45" s="57">
        <v>1</v>
      </c>
      <c r="BE45" s="57">
        <v>1</v>
      </c>
      <c r="BF45" s="57">
        <v>1</v>
      </c>
      <c r="BG45" s="57">
        <v>1</v>
      </c>
      <c r="BH45" s="57">
        <v>1</v>
      </c>
      <c r="BI45" s="57">
        <v>1</v>
      </c>
      <c r="BJ45" s="57"/>
      <c r="BK45" s="57">
        <v>1</v>
      </c>
      <c r="BL45" s="57">
        <v>1</v>
      </c>
      <c r="BM45" s="57">
        <v>1</v>
      </c>
      <c r="BN45" s="57">
        <v>1</v>
      </c>
      <c r="BO45" s="57">
        <v>1</v>
      </c>
      <c r="BP45" s="57">
        <v>1</v>
      </c>
      <c r="BQ45" s="57"/>
      <c r="BR45" s="15">
        <v>1</v>
      </c>
      <c r="BS45" s="15">
        <v>1</v>
      </c>
      <c r="BT45" s="15">
        <v>1</v>
      </c>
      <c r="BU45" s="15">
        <v>1</v>
      </c>
      <c r="BV45" s="15">
        <v>1</v>
      </c>
      <c r="BW45" s="15">
        <v>1</v>
      </c>
      <c r="BX45" s="57"/>
      <c r="BY45" s="57">
        <v>1</v>
      </c>
      <c r="BZ45" s="57">
        <v>1</v>
      </c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</row>
    <row r="46" spans="1:97" ht="15" customHeight="1" x14ac:dyDescent="0.25">
      <c r="A46" s="16">
        <v>48</v>
      </c>
      <c r="B46" s="87"/>
      <c r="C46" s="16" t="s">
        <v>53</v>
      </c>
      <c r="D46" s="42" t="s">
        <v>20</v>
      </c>
      <c r="E46" s="16">
        <v>44</v>
      </c>
      <c r="F46" s="16">
        <v>510</v>
      </c>
      <c r="G46" s="36"/>
      <c r="H46" s="37"/>
      <c r="I46" s="37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11">
        <f t="shared" si="0"/>
        <v>44</v>
      </c>
      <c r="AA46" s="58"/>
      <c r="AB46" s="58"/>
      <c r="AC46" s="58"/>
      <c r="AD46" s="58"/>
      <c r="AE46" s="58"/>
      <c r="AF46" s="58"/>
      <c r="AG46" s="58"/>
      <c r="AH46" s="58"/>
      <c r="AI46" s="58"/>
      <c r="AJ46" s="55"/>
      <c r="AK46" s="36"/>
      <c r="AL46" s="37"/>
      <c r="AM46" s="37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>
        <v>2</v>
      </c>
      <c r="BB46" s="58">
        <v>2</v>
      </c>
      <c r="BC46" s="58"/>
      <c r="BD46" s="58">
        <v>2</v>
      </c>
      <c r="BE46" s="58">
        <v>2</v>
      </c>
      <c r="BF46" s="58">
        <v>2</v>
      </c>
      <c r="BG46" s="58">
        <v>2</v>
      </c>
      <c r="BH46" s="58">
        <v>2</v>
      </c>
      <c r="BI46" s="58">
        <v>2</v>
      </c>
      <c r="BJ46" s="58"/>
      <c r="BK46" s="58">
        <v>2</v>
      </c>
      <c r="BL46" s="58">
        <v>2</v>
      </c>
      <c r="BM46" s="58">
        <v>2</v>
      </c>
      <c r="BN46" s="58">
        <v>2</v>
      </c>
      <c r="BO46" s="58">
        <v>2</v>
      </c>
      <c r="BP46" s="58">
        <v>2</v>
      </c>
      <c r="BQ46" s="58"/>
      <c r="BR46" s="37">
        <v>2</v>
      </c>
      <c r="BS46" s="37">
        <v>2</v>
      </c>
      <c r="BT46" s="37">
        <v>2</v>
      </c>
      <c r="BU46" s="37">
        <v>2</v>
      </c>
      <c r="BV46" s="37">
        <v>2</v>
      </c>
      <c r="BW46" s="37">
        <v>2</v>
      </c>
      <c r="BX46" s="58"/>
      <c r="BY46" s="58">
        <v>2</v>
      </c>
      <c r="BZ46" s="58">
        <v>2</v>
      </c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</row>
    <row r="47" spans="1:97" ht="13.95" customHeight="1" x14ac:dyDescent="0.25">
      <c r="A47" s="4">
        <v>50</v>
      </c>
      <c r="B47" s="88" t="s">
        <v>54</v>
      </c>
      <c r="C47" s="4" t="s">
        <v>55</v>
      </c>
      <c r="D47" s="114">
        <v>6400</v>
      </c>
      <c r="E47" s="115"/>
      <c r="F47" s="116"/>
      <c r="G47" s="44"/>
      <c r="H47" s="45"/>
      <c r="I47" s="45"/>
      <c r="J47" s="45"/>
      <c r="K47" s="60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53"/>
      <c r="AK47" s="44"/>
      <c r="AL47" s="45"/>
      <c r="AM47" s="45"/>
      <c r="AN47" s="45"/>
      <c r="AO47" s="60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</row>
    <row r="48" spans="1:97" ht="13.95" customHeight="1" x14ac:dyDescent="0.25">
      <c r="A48" s="8">
        <v>51</v>
      </c>
      <c r="B48" s="89"/>
      <c r="C48" s="8" t="s">
        <v>56</v>
      </c>
      <c r="D48" s="98">
        <v>36500</v>
      </c>
      <c r="E48" s="99"/>
      <c r="F48" s="100"/>
      <c r="G48" s="47"/>
      <c r="H48" s="46"/>
      <c r="I48" s="46"/>
      <c r="J48" s="46"/>
      <c r="K48" s="61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54"/>
      <c r="AK48" s="47"/>
      <c r="AL48" s="46"/>
      <c r="AM48" s="46"/>
      <c r="AN48" s="46"/>
      <c r="AO48" s="61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54"/>
      <c r="BP48" s="47"/>
      <c r="BQ48" s="46"/>
      <c r="BR48" s="46"/>
      <c r="BS48" s="46"/>
      <c r="BT48" s="61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</row>
    <row r="49" spans="1:97" ht="13.95" customHeight="1" x14ac:dyDescent="0.25">
      <c r="A49" s="17">
        <v>52</v>
      </c>
      <c r="B49" s="90"/>
      <c r="C49" s="17" t="s">
        <v>57</v>
      </c>
      <c r="D49" s="101">
        <v>23000</v>
      </c>
      <c r="E49" s="102"/>
      <c r="F49" s="103"/>
      <c r="G49" s="49"/>
      <c r="H49" s="48"/>
      <c r="I49" s="48"/>
      <c r="J49" s="48"/>
      <c r="K49" s="62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69"/>
      <c r="AK49" s="49"/>
      <c r="AL49" s="48"/>
      <c r="AM49" s="48"/>
      <c r="AN49" s="48"/>
      <c r="AO49" s="62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69"/>
      <c r="BP49" s="49"/>
      <c r="BQ49" s="48"/>
      <c r="BR49" s="48"/>
      <c r="BS49" s="48"/>
      <c r="BT49" s="62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</row>
    <row r="50" spans="1:97" ht="13.95" customHeight="1" x14ac:dyDescent="0.25">
      <c r="A50" s="16">
        <v>53</v>
      </c>
      <c r="B50" s="91"/>
      <c r="C50" s="16" t="s">
        <v>58</v>
      </c>
      <c r="D50" s="104">
        <v>7000</v>
      </c>
      <c r="E50" s="105"/>
      <c r="F50" s="106"/>
      <c r="G50" s="51"/>
      <c r="H50" s="50"/>
      <c r="I50" s="50"/>
      <c r="J50" s="50"/>
      <c r="K50" s="63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5"/>
      <c r="AK50" s="51"/>
      <c r="AL50" s="50"/>
      <c r="AM50" s="50"/>
      <c r="AN50" s="50"/>
      <c r="AO50" s="63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5"/>
      <c r="BP50" s="51"/>
      <c r="BQ50" s="50"/>
      <c r="BR50" s="50"/>
      <c r="BS50" s="50"/>
      <c r="BT50" s="63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</row>
    <row r="51" spans="1:97" ht="13.95" customHeight="1" x14ac:dyDescent="0.25">
      <c r="A51" s="52">
        <v>54</v>
      </c>
      <c r="B51" s="107" t="s">
        <v>59</v>
      </c>
      <c r="C51" s="107"/>
      <c r="D51" s="107"/>
      <c r="E51" s="107"/>
      <c r="F51" s="108"/>
      <c r="G51" s="44"/>
      <c r="H51" s="45"/>
      <c r="I51" s="60"/>
      <c r="J51" s="45"/>
      <c r="K51" s="45"/>
      <c r="L51" s="64"/>
      <c r="M51" s="45"/>
      <c r="N51" s="64"/>
      <c r="O51" s="45"/>
      <c r="P51" s="64"/>
      <c r="Q51" s="45"/>
      <c r="R51" s="64"/>
      <c r="S51" s="45"/>
      <c r="T51" s="64"/>
      <c r="U51" s="45"/>
      <c r="V51" s="64"/>
      <c r="W51" s="45"/>
      <c r="X51" s="64"/>
      <c r="Y51" s="45"/>
      <c r="Z51" s="64"/>
      <c r="AA51" s="45"/>
      <c r="AB51" s="64"/>
      <c r="AC51" s="45"/>
      <c r="AD51" s="64"/>
      <c r="AE51" s="45"/>
      <c r="AF51" s="64"/>
      <c r="AG51" s="45"/>
      <c r="AH51" s="64"/>
      <c r="AI51" s="45"/>
      <c r="AJ51" s="53"/>
      <c r="AK51" s="44"/>
      <c r="AL51" s="45"/>
      <c r="AM51" s="60"/>
      <c r="AN51" s="45"/>
      <c r="AO51" s="45"/>
      <c r="AP51" s="64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</row>
    <row r="52" spans="1:97" ht="13.95" customHeight="1" x14ac:dyDescent="0.25">
      <c r="A52" s="8">
        <v>55</v>
      </c>
      <c r="B52" s="75" t="s">
        <v>60</v>
      </c>
      <c r="C52" s="75"/>
      <c r="D52" s="75"/>
      <c r="E52" s="75"/>
      <c r="F52" s="76"/>
      <c r="G52" s="47"/>
      <c r="H52" s="46"/>
      <c r="I52" s="61"/>
      <c r="J52" s="46"/>
      <c r="K52" s="46"/>
      <c r="L52" s="46"/>
      <c r="M52" s="45"/>
      <c r="N52" s="46"/>
      <c r="O52" s="45"/>
      <c r="P52" s="46"/>
      <c r="Q52" s="45"/>
      <c r="R52" s="46"/>
      <c r="S52" s="45"/>
      <c r="T52" s="46"/>
      <c r="U52" s="45"/>
      <c r="V52" s="46"/>
      <c r="W52" s="45"/>
      <c r="X52" s="46"/>
      <c r="Y52" s="45"/>
      <c r="Z52" s="46"/>
      <c r="AA52" s="45"/>
      <c r="AB52" s="46"/>
      <c r="AC52" s="45"/>
      <c r="AD52" s="46"/>
      <c r="AE52" s="45"/>
      <c r="AF52" s="46"/>
      <c r="AG52" s="45"/>
      <c r="AH52" s="46"/>
      <c r="AI52" s="45"/>
      <c r="AJ52" s="53"/>
      <c r="AK52" s="47"/>
      <c r="AL52" s="46"/>
      <c r="AM52" s="61"/>
      <c r="AN52" s="46"/>
      <c r="AO52" s="46"/>
      <c r="AP52" s="46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53"/>
      <c r="BP52" s="47"/>
      <c r="BQ52" s="46"/>
      <c r="BR52" s="61"/>
      <c r="BS52" s="46"/>
      <c r="BT52" s="46"/>
      <c r="BU52" s="46"/>
      <c r="BV52" s="45"/>
      <c r="BW52" s="45"/>
      <c r="BX52" s="45"/>
      <c r="CA52" s="45"/>
      <c r="CB52" s="45"/>
      <c r="CC52" s="45"/>
      <c r="CE52" s="72"/>
      <c r="CF52" s="72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</row>
    <row r="53" spans="1:97" ht="13.95" customHeight="1" x14ac:dyDescent="0.25">
      <c r="A53" s="8">
        <v>56</v>
      </c>
      <c r="B53" s="75" t="s">
        <v>61</v>
      </c>
      <c r="C53" s="75"/>
      <c r="D53" s="75"/>
      <c r="E53" s="75"/>
      <c r="F53" s="76"/>
      <c r="G53" s="47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54"/>
      <c r="AK53" s="47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54"/>
      <c r="BP53" s="47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G53" s="73"/>
      <c r="CH53" s="73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</row>
    <row r="54" spans="1:97" ht="13.95" customHeight="1" x14ac:dyDescent="0.25">
      <c r="A54" s="16">
        <v>57</v>
      </c>
      <c r="B54" s="77" t="s">
        <v>62</v>
      </c>
      <c r="C54" s="77"/>
      <c r="D54" s="77"/>
      <c r="E54" s="77"/>
      <c r="F54" s="78"/>
      <c r="G54" s="51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5"/>
      <c r="AK54" s="51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5"/>
      <c r="BP54" s="51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</row>
    <row r="55" spans="1:97" ht="27" customHeight="1" x14ac:dyDescent="0.25">
      <c r="D55" s="56" t="s">
        <v>63</v>
      </c>
      <c r="E55" s="56"/>
      <c r="F55" s="56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M55" s="79" t="s">
        <v>64</v>
      </c>
      <c r="AN55" s="79"/>
      <c r="AO55" s="79"/>
      <c r="AP55" s="79"/>
      <c r="AQ55" s="79"/>
      <c r="AR55" s="79"/>
      <c r="BO55" s="65"/>
    </row>
  </sheetData>
  <mergeCells count="22">
    <mergeCell ref="B52:F52"/>
    <mergeCell ref="A1:BO1"/>
    <mergeCell ref="G2:AJ2"/>
    <mergeCell ref="AK2:BO2"/>
    <mergeCell ref="BP2:CS2"/>
    <mergeCell ref="D47:F47"/>
    <mergeCell ref="B53:F53"/>
    <mergeCell ref="B54:F54"/>
    <mergeCell ref="AM55:AR55"/>
    <mergeCell ref="A2:A3"/>
    <mergeCell ref="B4:B13"/>
    <mergeCell ref="B14:B39"/>
    <mergeCell ref="B40:B46"/>
    <mergeCell ref="B47:B50"/>
    <mergeCell ref="D2:D3"/>
    <mergeCell ref="E2:E3"/>
    <mergeCell ref="F2:F3"/>
    <mergeCell ref="B2:C3"/>
    <mergeCell ref="D48:F48"/>
    <mergeCell ref="D49:F49"/>
    <mergeCell ref="D50:F50"/>
    <mergeCell ref="B51:F51"/>
  </mergeCells>
  <phoneticPr fontId="9" type="noConversion"/>
  <printOptions horizontalCentered="1"/>
  <pageMargins left="0.16875000000000001" right="0.20833333333333301" top="0.39305555555555599" bottom="0.25972222222222202" header="0.18888888888888899" footer="0.16111111111111101"/>
  <pageSetup paperSize="8" scale="9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李东</dc:creator>
  <cp:lastModifiedBy>赵晨曦 张</cp:lastModifiedBy>
  <cp:lastPrinted>2020-01-06T06:21:00Z</cp:lastPrinted>
  <dcterms:created xsi:type="dcterms:W3CDTF">2018-03-05T03:50:00Z</dcterms:created>
  <dcterms:modified xsi:type="dcterms:W3CDTF">2025-12-17T09:01:48Z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KSOReadingLayout">
    <vt:bool>true</vt:bool>
  </property>
  <property fmtid="{D5CDD505-2E9C-101B-9397-08002B2CF9AE}" pid="4" name="ICV">
    <vt:lpwstr>6AF55E13D9364395AAB7AC1EA0596BEA_13</vt:lpwstr>
  </property>
</Properties>
</file>