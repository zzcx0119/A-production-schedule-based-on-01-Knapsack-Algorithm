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2_学习\代码\C++study\大作业数据\"/>
    </mc:Choice>
  </mc:AlternateContent>
  <xr:revisionPtr revIDLastSave="0" documentId="13_ncr:1_{09275DBC-0FC1-4446-AB97-A95F985C03EC}" xr6:coauthVersionLast="47" xr6:coauthVersionMax="47" xr10:uidLastSave="{00000000-0000-0000-0000-000000000000}"/>
  <bookViews>
    <workbookView xWindow="-108" yWindow="-108" windowWidth="23256" windowHeight="12456" tabRatio="22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DongLi</author>
  </authors>
  <commentList>
    <comment ref="R3" authorId="0" shapeId="0" xr:uid="{00000000-0006-0000-0000-000001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Y3" authorId="0" shapeId="0" xr:uid="{00000000-0006-0000-0000-000002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F3" authorId="0" shapeId="0" xr:uid="{00000000-0006-0000-0000-000003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M3" authorId="0" shapeId="0" xr:uid="{00000000-0006-0000-0000-000004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T3" authorId="0" shapeId="0" xr:uid="{00000000-0006-0000-0000-000005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A3" authorId="0" shapeId="0" xr:uid="{00000000-0006-0000-0000-000006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H3" authorId="0" shapeId="0" xr:uid="{00000000-0006-0000-0000-000007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X45" authorId="0" shapeId="0" xr:uid="{00000000-0006-0000-0000-000008000000}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热处理时间</t>
        </r>
      </text>
    </comment>
  </commentList>
</comments>
</file>

<file path=xl/sharedStrings.xml><?xml version="1.0" encoding="utf-8"?>
<sst xmlns="http://schemas.openxmlformats.org/spreadsheetml/2006/main" count="116" uniqueCount="71">
  <si>
    <t>凌源5#高炉陶瓷杯项目生产进度表</t>
  </si>
  <si>
    <t>序号</t>
  </si>
  <si>
    <t>工作项目与内容</t>
  </si>
  <si>
    <t>材质</t>
  </si>
  <si>
    <t>砖数</t>
  </si>
  <si>
    <t>重量</t>
  </si>
  <si>
    <t>陶瓷垫砖</t>
  </si>
  <si>
    <t>D00</t>
  </si>
  <si>
    <t>RL70MLC</t>
  </si>
  <si>
    <t>前期备货已完成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</si>
  <si>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</si>
  <si>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</si>
  <si>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</si>
  <si>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</si>
  <si>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</si>
  <si>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</si>
  <si>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</si>
  <si>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</si>
  <si>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</si>
  <si>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</si>
  <si>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</si>
  <si>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陶瓷杯壁砖</t>
  </si>
  <si>
    <t>LB01</t>
  </si>
  <si>
    <t>RL89MLC</t>
  </si>
  <si>
    <t>LB02</t>
  </si>
  <si>
    <t>LB03</t>
  </si>
  <si>
    <t>LB04</t>
  </si>
  <si>
    <t>LB05R</t>
  </si>
  <si>
    <t>LB05L</t>
  </si>
  <si>
    <t>LB06R</t>
  </si>
  <si>
    <t>LB06L</t>
  </si>
  <si>
    <t>LB07</t>
  </si>
  <si>
    <t>LB08</t>
  </si>
  <si>
    <t>LB09</t>
  </si>
  <si>
    <t>LB10</t>
  </si>
  <si>
    <t>LB11R</t>
  </si>
  <si>
    <t>LB11L</t>
  </si>
  <si>
    <t>LB12R</t>
  </si>
  <si>
    <t>LB12L</t>
  </si>
  <si>
    <t>LB13</t>
  </si>
  <si>
    <t>LB14</t>
  </si>
  <si>
    <t>LB15</t>
  </si>
  <si>
    <t>LB16R</t>
  </si>
  <si>
    <t>LB16L</t>
  </si>
  <si>
    <t>LB17</t>
  </si>
  <si>
    <t>LB18</t>
  </si>
  <si>
    <t>LB19</t>
  </si>
  <si>
    <t>LB20</t>
  </si>
  <si>
    <t>LB21</t>
  </si>
  <si>
    <t>LB22</t>
  </si>
  <si>
    <t>风口组合砖</t>
  </si>
  <si>
    <t>LF01</t>
  </si>
  <si>
    <t>LF02</t>
  </si>
  <si>
    <t>LF03</t>
  </si>
  <si>
    <t>LF04</t>
  </si>
  <si>
    <t>LF05</t>
  </si>
  <si>
    <t>LF06</t>
  </si>
  <si>
    <t>LF07</t>
  </si>
  <si>
    <t>铁口框砖</t>
  </si>
  <si>
    <t>LT01</t>
  </si>
  <si>
    <t>散料</t>
  </si>
  <si>
    <t>RL85M</t>
  </si>
  <si>
    <t>RL85C</t>
  </si>
  <si>
    <t>RL85C/FS</t>
  </si>
  <si>
    <t>预装</t>
  </si>
  <si>
    <t>自检及内检</t>
  </si>
  <si>
    <t>外检</t>
  </si>
  <si>
    <t>包装发运</t>
  </si>
  <si>
    <t>编制：</t>
  </si>
  <si>
    <t>韩松、张庆国</t>
  </si>
  <si>
    <t>审核：李东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</si>
</sst>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6" fillId="0" borderId="13" xfId="2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2" applyBorder="1" applyAlignment="1">
      <alignment horizontal="center" vertical="center"/>
    </xf>
    <xf numFmtId="0" fontId="6" fillId="0" borderId="17" xfId="2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6" fillId="0" borderId="20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0" fontId="6" fillId="0" borderId="21" xfId="2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23" xfId="2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6" xfId="2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6" fillId="2" borderId="16" xfId="2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6" fillId="2" borderId="26" xfId="2" applyFill="1" applyBorder="1" applyAlignment="1">
      <alignment horizontal="center" vertical="center"/>
    </xf>
    <xf numFmtId="0" fontId="6" fillId="3" borderId="16" xfId="2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6" fillId="3" borderId="26" xfId="2" applyFill="1" applyBorder="1" applyAlignment="1">
      <alignment horizontal="center" vertical="center"/>
    </xf>
    <xf numFmtId="0" fontId="6" fillId="4" borderId="16" xfId="2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6" fillId="4" borderId="26" xfId="2" applyFill="1" applyBorder="1" applyAlignment="1">
      <alignment horizontal="center" vertical="center"/>
    </xf>
    <xf numFmtId="0" fontId="6" fillId="5" borderId="16" xfId="2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6" fillId="5" borderId="26" xfId="2" applyFill="1" applyBorder="1" applyAlignment="1">
      <alignment horizontal="center" vertical="center"/>
    </xf>
    <xf numFmtId="0" fontId="6" fillId="6" borderId="16" xfId="2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6" fillId="6" borderId="26" xfId="2" applyFill="1" applyBorder="1" applyAlignment="1">
      <alignment horizontal="center" vertical="center"/>
    </xf>
    <xf numFmtId="0" fontId="6" fillId="7" borderId="16" xfId="2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6" fillId="7" borderId="26" xfId="2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29" xfId="2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6" fillId="0" borderId="35" xfId="2" applyBorder="1" applyAlignment="1">
      <alignment horizontal="center" vertical="center"/>
    </xf>
    <xf numFmtId="0" fontId="6" fillId="0" borderId="2" xfId="2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4" fillId="0" borderId="37" xfId="2" applyFont="1" applyBorder="1" applyAlignment="1">
      <alignment horizontal="center" vertical="center"/>
    </xf>
    <xf numFmtId="0" fontId="6" fillId="0" borderId="38" xfId="2" applyBorder="1" applyAlignment="1">
      <alignment horizontal="center" vertical="center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0" fontId="6" fillId="0" borderId="41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0" fontId="6" fillId="0" borderId="2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6" fillId="0" borderId="30" xfId="2" applyBorder="1" applyAlignment="1">
      <alignment horizontal="center" vertical="center"/>
    </xf>
    <xf numFmtId="0" fontId="6" fillId="0" borderId="47" xfId="2" applyBorder="1" applyAlignment="1">
      <alignment horizontal="center" vertical="center"/>
    </xf>
    <xf numFmtId="0" fontId="6" fillId="0" borderId="25" xfId="2" applyBorder="1" applyAlignment="1">
      <alignment horizontal="center" vertical="center"/>
    </xf>
    <xf numFmtId="0" fontId="6" fillId="0" borderId="28" xfId="2" applyBorder="1" applyAlignment="1">
      <alignment horizontal="center" vertical="center"/>
    </xf>
    <xf numFmtId="0" fontId="5" fillId="0" borderId="5" xfId="2" applyFont="1" applyBorder="1">
      <alignment vertical="center"/>
    </xf>
    <xf numFmtId="0" fontId="2" fillId="0" borderId="18" xfId="2" applyFont="1" applyBorder="1" applyAlignment="1">
      <alignment horizontal="center" vertical="center"/>
    </xf>
    <xf numFmtId="0" fontId="2" fillId="0" borderId="48" xfId="2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4" fillId="8" borderId="49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22" xfId="2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51" xfId="2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31" xfId="2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36" xfId="2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0" fontId="6" fillId="0" borderId="41" xfId="2" applyBorder="1" applyAlignment="1">
      <alignment horizontal="center" vertical="center" wrapText="1"/>
    </xf>
    <xf numFmtId="0" fontId="6" fillId="0" borderId="27" xfId="2" applyBorder="1" applyAlignment="1">
      <alignment horizontal="center" vertical="center" wrapText="1"/>
    </xf>
    <xf numFmtId="0" fontId="6" fillId="0" borderId="30" xfId="2" applyBorder="1" applyAlignment="1">
      <alignment horizontal="center" vertical="center" wrapText="1"/>
    </xf>
    <xf numFmtId="0" fontId="6" fillId="0" borderId="54" xfId="2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24" xfId="2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6" fillId="3" borderId="41" xfId="2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6" fillId="3" borderId="27" xfId="2" applyFill="1" applyBorder="1" applyAlignment="1">
      <alignment horizontal="center" vertical="center"/>
    </xf>
    <xf numFmtId="0" fontId="6" fillId="3" borderId="30" xfId="2" applyFill="1" applyBorder="1" applyAlignment="1">
      <alignment horizontal="center" vertical="center"/>
    </xf>
    <xf numFmtId="0" fontId="6" fillId="11" borderId="41" xfId="2" applyFill="1" applyBorder="1" applyAlignment="1">
      <alignment horizontal="center" vertical="center"/>
    </xf>
    <xf numFmtId="0" fontId="6" fillId="11" borderId="47" xfId="2" applyFill="1" applyBorder="1" applyAlignment="1">
      <alignment horizontal="center" vertical="center"/>
    </xf>
    <xf numFmtId="0" fontId="6" fillId="11" borderId="40" xfId="2" applyFill="1" applyBorder="1" applyAlignment="1">
      <alignment horizontal="center" vertical="center"/>
    </xf>
    <xf numFmtId="0" fontId="6" fillId="11" borderId="41" xfId="2" applyFill="1" applyBorder="1" applyAlignment="1">
      <alignment horizontal="center" vertical="center" wrapText="1"/>
    </xf>
    <xf numFmtId="0" fontId="6" fillId="11" borderId="54" xfId="2" applyFill="1" applyBorder="1" applyAlignment="1">
      <alignment horizontal="center" vertical="center"/>
    </xf>
    <xf numFmtId="0" fontId="6" fillId="12" borderId="41" xfId="2" applyFill="1" applyBorder="1" applyAlignment="1">
      <alignment horizontal="center" vertical="center"/>
    </xf>
    <xf numFmtId="0" fontId="6" fillId="13" borderId="27" xfId="2" applyFill="1" applyBorder="1" applyAlignment="1">
      <alignment horizontal="center" vertical="center"/>
    </xf>
    <xf numFmtId="0" fontId="6" fillId="14" borderId="30" xfId="2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6" xfId="2" applyFont="1" applyBorder="1" applyAlignment="1">
      <alignment horizontal="center" vertical="center"/>
    </xf>
    <xf numFmtId="57" fontId="3" fillId="0" borderId="2" xfId="2" applyNumberFormat="1" applyFont="1" applyBorder="1" applyAlignment="1">
      <alignment horizontal="center" vertical="center"/>
    </xf>
    <xf numFmtId="57" fontId="3" fillId="0" borderId="36" xfId="2" applyNumberFormat="1" applyFont="1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0" fontId="6" fillId="0" borderId="41" xfId="2" applyBorder="1" applyAlignment="1">
      <alignment horizontal="center" vertical="center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0" fontId="6" fillId="0" borderId="27" xfId="2" applyBorder="1" applyAlignment="1">
      <alignment horizontal="center" vertical="center"/>
    </xf>
    <xf numFmtId="0" fontId="6" fillId="0" borderId="44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6" fillId="0" borderId="30" xfId="2" applyBorder="1" applyAlignment="1">
      <alignment horizontal="center" vertical="center"/>
    </xf>
    <xf numFmtId="0" fontId="6" fillId="0" borderId="46" xfId="2" applyBorder="1" applyAlignment="1">
      <alignment horizontal="center" vertical="center"/>
    </xf>
    <xf numFmtId="0" fontId="6" fillId="0" borderId="38" xfId="2" applyBorder="1" applyAlignment="1">
      <alignment horizontal="center" vertical="center"/>
    </xf>
    <xf numFmtId="0" fontId="6" fillId="0" borderId="47" xfId="2" applyBorder="1" applyAlignment="1">
      <alignment horizontal="center" vertical="center"/>
    </xf>
    <xf numFmtId="0" fontId="6" fillId="0" borderId="26" xfId="2" applyBorder="1" applyAlignment="1">
      <alignment horizontal="center" vertical="center"/>
    </xf>
    <xf numFmtId="0" fontId="6" fillId="0" borderId="25" xfId="2" applyBorder="1" applyAlignment="1">
      <alignment horizontal="center" vertical="center"/>
    </xf>
    <xf numFmtId="0" fontId="6" fillId="0" borderId="29" xfId="2" applyBorder="1" applyAlignment="1">
      <alignment horizontal="center" vertical="center"/>
    </xf>
    <xf numFmtId="0" fontId="6" fillId="0" borderId="28" xfId="2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0" borderId="3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6" fillId="0" borderId="5" xfId="2" applyBorder="1" applyAlignment="1">
      <alignment horizontal="center" vertical="center" wrapText="1"/>
    </xf>
    <xf numFmtId="0" fontId="6" fillId="0" borderId="0" xfId="2" applyAlignment="1">
      <alignment horizontal="center" vertical="center" wrapText="1"/>
    </xf>
    <xf numFmtId="0" fontId="6" fillId="0" borderId="9" xfId="2" applyBorder="1" applyAlignment="1">
      <alignment horizontal="center" vertical="center" wrapText="1"/>
    </xf>
    <xf numFmtId="0" fontId="6" fillId="0" borderId="31" xfId="2" applyBorder="1" applyAlignment="1">
      <alignment horizontal="center" vertical="center" wrapText="1"/>
    </xf>
    <xf numFmtId="0" fontId="6" fillId="0" borderId="33" xfId="2" applyBorder="1" applyAlignment="1">
      <alignment horizontal="center" vertical="center" wrapText="1"/>
    </xf>
    <xf numFmtId="0" fontId="6" fillId="0" borderId="34" xfId="2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3">
    <cellStyle name="常规" xfId="0" builtinId="0"/>
    <cellStyle name="常规 2" xfId="2" xr:uid="{00000000-0005-0000-0000-000033000000}"/>
    <cellStyle name="常规 2 2" xfId="1" xr:uid="{00000000-0005-0000-0000-000031000000}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58"/>
  <sheetViews>
    <sheetView tabSelected="1" workbookViewId="0">
      <pane xSplit="7" ySplit="3" topLeftCell="I4" activePane="bottomRight" state="frozen"/>
      <selection pane="topRight"/>
      <selection pane="bottomLeft"/>
      <selection pane="bottomRight" activeCell="AK14" sqref="AK14"/>
    </sheetView>
  </sheetViews>
  <sheetFormatPr defaultColWidth="9" defaultRowHeight="14.4" x14ac:dyDescent="0.25"/>
  <cols>
    <col min="1" max="1" width="9" style="1"/>
    <col min="2" max="2" width="11.33203125" style="1" customWidth="1"/>
    <col min="3" max="4" width="11.77734375" style="1" customWidth="1"/>
    <col min="5" max="6" width="9" style="1"/>
    <col min="7" max="76" width="3.6640625" style="1" customWidth="1"/>
    <col min="77" max="16384" width="9" style="1"/>
  </cols>
  <sheetData>
    <row r="1" spans="1:81" ht="34.049999999999997" customHeight="1" x14ac:dyDescent="0.25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4"/>
    </row>
    <row r="2" spans="1:81" ht="16.05" customHeight="1" x14ac:dyDescent="0.25">
      <c r="A2" s="133" t="s">
        <v>1</v>
      </c>
      <c r="B2" s="141" t="s">
        <v>2</v>
      </c>
      <c r="C2" s="145"/>
      <c r="D2" s="141" t="s">
        <v>3</v>
      </c>
      <c r="E2" s="143" t="s">
        <v>4</v>
      </c>
      <c r="F2" s="143" t="s">
        <v>5</v>
      </c>
      <c r="G2" s="115">
        <v>45840</v>
      </c>
      <c r="H2" s="115"/>
      <c r="I2" s="115"/>
      <c r="J2" s="115"/>
      <c r="K2" s="115"/>
      <c r="L2" s="115"/>
      <c r="M2" s="115"/>
      <c r="N2" s="115"/>
      <c r="O2" s="116"/>
      <c r="P2" s="115">
        <v>45871</v>
      </c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6"/>
      <c r="AU2" s="115">
        <v>45903</v>
      </c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</row>
    <row r="3" spans="1:81" ht="16.05" customHeight="1" x14ac:dyDescent="0.25">
      <c r="A3" s="134"/>
      <c r="B3" s="142"/>
      <c r="C3" s="146"/>
      <c r="D3" s="142"/>
      <c r="E3" s="144"/>
      <c r="F3" s="144"/>
      <c r="G3" s="2"/>
      <c r="H3" s="3">
        <v>24</v>
      </c>
      <c r="I3" s="3">
        <v>25</v>
      </c>
      <c r="J3" s="3">
        <v>26</v>
      </c>
      <c r="K3" s="3">
        <v>27</v>
      </c>
      <c r="L3" s="3">
        <v>28</v>
      </c>
      <c r="M3" s="3">
        <v>29</v>
      </c>
      <c r="N3" s="58">
        <v>30</v>
      </c>
      <c r="O3" s="59">
        <v>31</v>
      </c>
      <c r="P3" s="2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3">
        <v>7</v>
      </c>
      <c r="W3" s="3">
        <v>8</v>
      </c>
      <c r="X3" s="3">
        <v>9</v>
      </c>
      <c r="Y3" s="3">
        <v>10</v>
      </c>
      <c r="Z3" s="3">
        <v>11</v>
      </c>
      <c r="AA3" s="3">
        <v>12</v>
      </c>
      <c r="AB3" s="3">
        <v>13</v>
      </c>
      <c r="AC3" s="3">
        <v>14</v>
      </c>
      <c r="AD3" s="3">
        <v>15</v>
      </c>
      <c r="AE3" s="3">
        <v>16</v>
      </c>
      <c r="AF3" s="3">
        <v>17</v>
      </c>
      <c r="AG3" s="3">
        <v>18</v>
      </c>
      <c r="AH3" s="3">
        <v>19</v>
      </c>
      <c r="AI3" s="3">
        <v>20</v>
      </c>
      <c r="AJ3" s="3">
        <v>21</v>
      </c>
      <c r="AK3" s="3">
        <v>22</v>
      </c>
      <c r="AL3" s="3">
        <v>23</v>
      </c>
      <c r="AM3" s="3">
        <v>24</v>
      </c>
      <c r="AN3" s="3">
        <v>25</v>
      </c>
      <c r="AO3" s="3">
        <v>26</v>
      </c>
      <c r="AP3" s="3">
        <v>27</v>
      </c>
      <c r="AQ3" s="3">
        <v>28</v>
      </c>
      <c r="AR3" s="3">
        <v>29</v>
      </c>
      <c r="AS3" s="3">
        <v>30</v>
      </c>
      <c r="AT3" s="59">
        <v>31</v>
      </c>
      <c r="AU3" s="2">
        <v>1</v>
      </c>
      <c r="AV3" s="2">
        <v>2</v>
      </c>
      <c r="AW3" s="2">
        <v>3</v>
      </c>
      <c r="AX3" s="2">
        <v>4</v>
      </c>
      <c r="AY3" s="2">
        <v>5</v>
      </c>
      <c r="AZ3" s="2">
        <v>6</v>
      </c>
      <c r="BA3" s="2">
        <v>7</v>
      </c>
      <c r="BB3" s="2">
        <v>8</v>
      </c>
      <c r="BC3" s="2">
        <v>9</v>
      </c>
      <c r="BD3" s="2">
        <v>10</v>
      </c>
      <c r="BE3" s="2">
        <v>11</v>
      </c>
      <c r="BF3" s="2">
        <v>12</v>
      </c>
      <c r="BG3" s="2">
        <v>13</v>
      </c>
      <c r="BH3" s="2">
        <v>14</v>
      </c>
      <c r="BI3" s="2">
        <v>15</v>
      </c>
      <c r="BJ3" s="2">
        <v>16</v>
      </c>
      <c r="BK3" s="2">
        <v>17</v>
      </c>
      <c r="BL3" s="2">
        <v>18</v>
      </c>
      <c r="BM3" s="2">
        <v>19</v>
      </c>
      <c r="BN3" s="2">
        <v>20</v>
      </c>
      <c r="BO3" s="2">
        <v>21</v>
      </c>
      <c r="BP3" s="2">
        <v>22</v>
      </c>
      <c r="BQ3" s="2">
        <v>23</v>
      </c>
      <c r="BR3" s="2">
        <v>24</v>
      </c>
      <c r="BS3" s="2">
        <v>25</v>
      </c>
      <c r="BT3" s="2">
        <v>26</v>
      </c>
      <c r="BU3" s="2">
        <v>27</v>
      </c>
      <c r="BV3" s="2">
        <v>28</v>
      </c>
      <c r="BW3" s="2">
        <v>29</v>
      </c>
      <c r="BX3" s="2">
        <v>30</v>
      </c>
    </row>
    <row r="4" spans="1:81" ht="15" customHeight="1" x14ac:dyDescent="0.25">
      <c r="A4" s="4">
        <v>1</v>
      </c>
      <c r="B4" s="135" t="s">
        <v>6</v>
      </c>
      <c r="C4" s="4" t="s">
        <v>7</v>
      </c>
      <c r="D4" s="5" t="s">
        <v>8</v>
      </c>
      <c r="E4" s="4">
        <v>2</v>
      </c>
      <c r="F4" s="4">
        <v>802</v>
      </c>
      <c r="G4" s="6">
        <v>2</v>
      </c>
      <c r="H4" s="147" t="s">
        <v>9</v>
      </c>
      <c r="I4" s="148"/>
      <c r="J4" s="148"/>
      <c r="K4" s="148"/>
      <c r="L4" s="148"/>
      <c r="M4" s="148"/>
      <c r="N4" s="148"/>
      <c r="O4" s="149"/>
      <c r="P4" s="6"/>
      <c r="Q4" s="68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70"/>
      <c r="AU4" s="6"/>
      <c r="AV4" s="68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</row>
    <row r="5" spans="1:81" ht="15" customHeight="1" x14ac:dyDescent="0.25">
      <c r="A5" s="7">
        <v>2</v>
      </c>
      <c r="B5" s="136"/>
      <c r="C5" s="7" t="s">
        <v>10</v>
      </c>
      <c r="D5" s="8" t="s">
        <v>8</v>
      </c>
      <c r="E5" s="7">
        <v>10</v>
      </c>
      <c r="F5" s="7">
        <v>377</v>
      </c>
      <c r="G5" s="6">
        <v>10</v>
      </c>
      <c r="H5" s="150"/>
      <c r="I5" s="151"/>
      <c r="J5" s="151"/>
      <c r="K5" s="151"/>
      <c r="L5" s="151"/>
      <c r="M5" s="151"/>
      <c r="N5" s="151"/>
      <c r="O5" s="152"/>
      <c r="P5" s="61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16"/>
      <c r="AU5" s="61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</row>
    <row r="6" spans="1:81" ht="15" customHeight="1" x14ac:dyDescent="0.25">
      <c r="A6" s="7">
        <v>3</v>
      </c>
      <c r="B6" s="136"/>
      <c r="C6" s="7" t="s">
        <v>11</v>
      </c>
      <c r="D6" s="8" t="s">
        <v>8</v>
      </c>
      <c r="E6" s="7">
        <v>14</v>
      </c>
      <c r="F6" s="7">
        <v>429</v>
      </c>
      <c r="G6" s="6">
        <v>14</v>
      </c>
      <c r="H6" s="150"/>
      <c r="I6" s="151"/>
      <c r="J6" s="151"/>
      <c r="K6" s="151"/>
      <c r="L6" s="151"/>
      <c r="M6" s="151"/>
      <c r="N6" s="151"/>
      <c r="O6" s="152"/>
      <c r="P6" s="61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16"/>
      <c r="AU6" s="61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</row>
    <row r="7" spans="1:81" ht="15" customHeight="1" x14ac:dyDescent="0.25">
      <c r="A7" s="7">
        <v>4</v>
      </c>
      <c r="B7" s="136"/>
      <c r="C7" s="7" t="s">
        <v>12</v>
      </c>
      <c r="D7" s="8" t="s">
        <v>8</v>
      </c>
      <c r="E7" s="7">
        <v>18</v>
      </c>
      <c r="F7" s="7">
        <v>457</v>
      </c>
      <c r="G7" s="6">
        <v>18</v>
      </c>
      <c r="H7" s="150"/>
      <c r="I7" s="151"/>
      <c r="J7" s="151"/>
      <c r="K7" s="151"/>
      <c r="L7" s="151"/>
      <c r="M7" s="151"/>
      <c r="N7" s="151"/>
      <c r="O7" s="152"/>
      <c r="P7" s="62"/>
      <c r="Q7" s="18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16"/>
      <c r="AU7" s="62"/>
      <c r="AV7" s="18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</row>
    <row r="8" spans="1:81" ht="15" customHeight="1" x14ac:dyDescent="0.25">
      <c r="A8" s="7">
        <v>5</v>
      </c>
      <c r="B8" s="136"/>
      <c r="C8" s="7" t="s">
        <v>13</v>
      </c>
      <c r="D8" s="8" t="s">
        <v>8</v>
      </c>
      <c r="E8" s="7">
        <v>22</v>
      </c>
      <c r="F8" s="7">
        <v>476</v>
      </c>
      <c r="G8" s="6">
        <v>22</v>
      </c>
      <c r="H8" s="150"/>
      <c r="I8" s="151"/>
      <c r="J8" s="151"/>
      <c r="K8" s="151"/>
      <c r="L8" s="151"/>
      <c r="M8" s="151"/>
      <c r="N8" s="151"/>
      <c r="O8" s="152"/>
      <c r="P8" s="62"/>
      <c r="Q8" s="18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16"/>
      <c r="AU8" s="62"/>
      <c r="AV8" s="18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</row>
    <row r="9" spans="1:81" ht="15" customHeight="1" x14ac:dyDescent="0.25">
      <c r="A9" s="7">
        <v>6</v>
      </c>
      <c r="B9" s="136"/>
      <c r="C9" s="7" t="s">
        <v>14</v>
      </c>
      <c r="D9" s="8" t="s">
        <v>8</v>
      </c>
      <c r="E9" s="7">
        <v>26</v>
      </c>
      <c r="F9" s="7">
        <v>488</v>
      </c>
      <c r="G9" s="6">
        <v>26</v>
      </c>
      <c r="H9" s="150"/>
      <c r="I9" s="151"/>
      <c r="J9" s="151"/>
      <c r="K9" s="151"/>
      <c r="L9" s="151"/>
      <c r="M9" s="151"/>
      <c r="N9" s="151"/>
      <c r="O9" s="152"/>
      <c r="P9" s="63"/>
      <c r="Q9" s="9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6"/>
      <c r="AU9" s="63"/>
      <c r="AV9" s="9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</row>
    <row r="10" spans="1:81" ht="15" customHeight="1" x14ac:dyDescent="0.25">
      <c r="A10" s="7">
        <v>7</v>
      </c>
      <c r="B10" s="136"/>
      <c r="C10" s="7" t="s">
        <v>15</v>
      </c>
      <c r="D10" s="8" t="s">
        <v>8</v>
      </c>
      <c r="E10" s="7">
        <v>30</v>
      </c>
      <c r="F10" s="7">
        <v>498</v>
      </c>
      <c r="G10" s="6">
        <v>30</v>
      </c>
      <c r="H10" s="150"/>
      <c r="I10" s="151"/>
      <c r="J10" s="151"/>
      <c r="K10" s="151"/>
      <c r="L10" s="151"/>
      <c r="M10" s="151"/>
      <c r="N10" s="151"/>
      <c r="O10" s="152"/>
      <c r="P10" s="63"/>
      <c r="Q10" s="9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6"/>
      <c r="AU10" s="63"/>
      <c r="AV10" s="9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</row>
    <row r="11" spans="1:81" ht="15" customHeight="1" x14ac:dyDescent="0.25">
      <c r="A11" s="7">
        <v>8</v>
      </c>
      <c r="B11" s="136"/>
      <c r="C11" s="7" t="s">
        <v>16</v>
      </c>
      <c r="D11" s="8" t="s">
        <v>8</v>
      </c>
      <c r="E11" s="7">
        <v>34</v>
      </c>
      <c r="F11" s="7">
        <v>505</v>
      </c>
      <c r="G11" s="6">
        <v>34</v>
      </c>
      <c r="H11" s="150"/>
      <c r="I11" s="151"/>
      <c r="J11" s="151"/>
      <c r="K11" s="151"/>
      <c r="L11" s="151"/>
      <c r="M11" s="151"/>
      <c r="N11" s="151"/>
      <c r="O11" s="152"/>
      <c r="P11" s="63"/>
      <c r="Q11" s="9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6"/>
      <c r="AU11" s="63"/>
      <c r="AV11" s="9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</row>
    <row r="12" spans="1:81" ht="15" customHeight="1" x14ac:dyDescent="0.25">
      <c r="A12" s="7">
        <v>9</v>
      </c>
      <c r="B12" s="136"/>
      <c r="C12" s="7" t="s">
        <v>17</v>
      </c>
      <c r="D12" s="8" t="s">
        <v>8</v>
      </c>
      <c r="E12" s="7">
        <v>38</v>
      </c>
      <c r="F12" s="7">
        <v>510</v>
      </c>
      <c r="G12" s="6">
        <f>SUM(H12:BX12)+29</f>
        <v>38</v>
      </c>
      <c r="H12" s="9"/>
      <c r="I12" s="64"/>
      <c r="J12" s="64"/>
      <c r="K12" s="64"/>
      <c r="L12" s="64"/>
      <c r="M12" s="64"/>
      <c r="N12" s="65"/>
      <c r="O12" s="66"/>
      <c r="P12" s="67">
        <v>2</v>
      </c>
      <c r="Q12" s="91">
        <v>2</v>
      </c>
      <c r="R12" s="64"/>
      <c r="S12" s="92">
        <v>2</v>
      </c>
      <c r="T12" s="92">
        <v>2</v>
      </c>
      <c r="U12" s="92">
        <v>1</v>
      </c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6"/>
      <c r="AU12" s="63"/>
      <c r="AV12" s="9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</row>
    <row r="13" spans="1:81" ht="15" customHeight="1" x14ac:dyDescent="0.25">
      <c r="A13" s="7">
        <v>10</v>
      </c>
      <c r="B13" s="136"/>
      <c r="C13" s="7" t="s">
        <v>18</v>
      </c>
      <c r="D13" s="8" t="s">
        <v>8</v>
      </c>
      <c r="E13" s="7">
        <v>42</v>
      </c>
      <c r="F13" s="7">
        <v>515</v>
      </c>
      <c r="G13" s="6">
        <f>SUM(H13:BX13)+20</f>
        <v>42</v>
      </c>
      <c r="H13" s="9"/>
      <c r="I13" s="64"/>
      <c r="J13" s="64"/>
      <c r="K13" s="64"/>
      <c r="L13" s="64"/>
      <c r="M13" s="64"/>
      <c r="N13" s="65"/>
      <c r="O13" s="66"/>
      <c r="P13" s="67">
        <v>2</v>
      </c>
      <c r="Q13" s="91">
        <v>2</v>
      </c>
      <c r="R13" s="64"/>
      <c r="S13" s="92">
        <v>2</v>
      </c>
      <c r="T13" s="92">
        <v>2</v>
      </c>
      <c r="U13" s="92">
        <v>2</v>
      </c>
      <c r="V13" s="92">
        <v>2</v>
      </c>
      <c r="W13" s="92">
        <v>2</v>
      </c>
      <c r="X13" s="92">
        <v>2</v>
      </c>
      <c r="Y13" s="64"/>
      <c r="Z13" s="92">
        <v>2</v>
      </c>
      <c r="AA13" s="92">
        <v>2</v>
      </c>
      <c r="AB13" s="92">
        <v>2</v>
      </c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6"/>
      <c r="AU13" s="63"/>
      <c r="AV13" s="9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</row>
    <row r="14" spans="1:81" ht="15" customHeight="1" x14ac:dyDescent="0.25">
      <c r="A14" s="7">
        <v>11</v>
      </c>
      <c r="B14" s="136"/>
      <c r="C14" s="7" t="s">
        <v>19</v>
      </c>
      <c r="D14" s="8" t="s">
        <v>8</v>
      </c>
      <c r="E14" s="7">
        <v>45</v>
      </c>
      <c r="F14" s="7">
        <v>300</v>
      </c>
      <c r="G14" s="6">
        <f>SUM(H14:BX14)</f>
        <v>45</v>
      </c>
      <c r="H14" s="9"/>
      <c r="I14" s="64"/>
      <c r="J14" s="64"/>
      <c r="K14" s="64"/>
      <c r="L14" s="64"/>
      <c r="M14" s="64"/>
      <c r="N14" s="65"/>
      <c r="O14" s="66"/>
      <c r="P14" s="67">
        <v>2</v>
      </c>
      <c r="Q14" s="91">
        <v>2</v>
      </c>
      <c r="R14" s="64"/>
      <c r="S14" s="92">
        <v>2</v>
      </c>
      <c r="T14" s="92">
        <v>2</v>
      </c>
      <c r="U14" s="92">
        <v>2</v>
      </c>
      <c r="V14" s="92">
        <v>2</v>
      </c>
      <c r="W14" s="92">
        <v>2</v>
      </c>
      <c r="X14" s="92">
        <v>2</v>
      </c>
      <c r="Y14" s="64"/>
      <c r="Z14" s="92">
        <v>2</v>
      </c>
      <c r="AA14" s="92">
        <v>2</v>
      </c>
      <c r="AB14" s="92">
        <v>4</v>
      </c>
      <c r="AC14" s="92">
        <v>4</v>
      </c>
      <c r="AD14" s="92">
        <v>4</v>
      </c>
      <c r="AE14" s="92">
        <v>4</v>
      </c>
      <c r="AF14" s="64"/>
      <c r="AG14" s="92">
        <v>4</v>
      </c>
      <c r="AH14" s="92">
        <v>4</v>
      </c>
      <c r="AI14" s="92">
        <v>1</v>
      </c>
      <c r="AJ14" s="64"/>
      <c r="AK14" s="64"/>
      <c r="AL14" s="64"/>
      <c r="AM14" s="64"/>
      <c r="AN14" s="64"/>
      <c r="AO14" s="64"/>
      <c r="AP14" s="64"/>
      <c r="AQ14" s="101"/>
      <c r="AR14" s="101"/>
      <c r="AS14" s="101"/>
      <c r="AT14" s="101"/>
      <c r="AU14" s="101"/>
      <c r="AV14" s="101"/>
      <c r="AW14" s="101"/>
      <c r="AX14" s="101"/>
      <c r="AY14" s="66"/>
      <c r="AZ14" s="63"/>
      <c r="BA14" s="9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</row>
    <row r="15" spans="1:81" ht="15" customHeight="1" x14ac:dyDescent="0.25">
      <c r="A15" s="10">
        <v>14</v>
      </c>
      <c r="B15" s="136"/>
      <c r="C15" s="11" t="s">
        <v>20</v>
      </c>
      <c r="D15" s="12" t="s">
        <v>8</v>
      </c>
      <c r="E15" s="11">
        <v>45</v>
      </c>
      <c r="F15" s="11">
        <v>456</v>
      </c>
      <c r="G15" s="6">
        <f>SUM(H15:BX15)</f>
        <v>45</v>
      </c>
      <c r="H15" s="9"/>
      <c r="I15" s="64"/>
      <c r="J15" s="64"/>
      <c r="K15" s="64"/>
      <c r="L15" s="64"/>
      <c r="M15" s="64"/>
      <c r="N15" s="65"/>
      <c r="O15" s="66"/>
      <c r="P15" s="67">
        <v>2</v>
      </c>
      <c r="Q15" s="91">
        <v>2</v>
      </c>
      <c r="R15" s="64"/>
      <c r="S15" s="92">
        <v>2</v>
      </c>
      <c r="T15" s="92">
        <v>2</v>
      </c>
      <c r="U15" s="92">
        <v>2</v>
      </c>
      <c r="V15" s="92">
        <v>2</v>
      </c>
      <c r="W15" s="92">
        <v>2</v>
      </c>
      <c r="X15" s="92">
        <v>2</v>
      </c>
      <c r="Y15" s="64"/>
      <c r="Z15" s="92">
        <v>2</v>
      </c>
      <c r="AA15" s="92">
        <v>2</v>
      </c>
      <c r="AB15" s="92">
        <v>4</v>
      </c>
      <c r="AC15" s="92">
        <v>4</v>
      </c>
      <c r="AD15" s="92">
        <v>4</v>
      </c>
      <c r="AE15" s="92">
        <v>4</v>
      </c>
      <c r="AF15" s="64"/>
      <c r="AG15" s="92">
        <v>4</v>
      </c>
      <c r="AH15" s="92">
        <v>4</v>
      </c>
      <c r="AI15" s="92">
        <v>1</v>
      </c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6"/>
      <c r="AZ15" s="63"/>
      <c r="BA15" s="9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</row>
    <row r="16" spans="1:81" ht="15" customHeight="1" x14ac:dyDescent="0.25">
      <c r="A16" s="4">
        <v>15</v>
      </c>
      <c r="B16" s="135" t="s">
        <v>21</v>
      </c>
      <c r="C16" s="4" t="s">
        <v>22</v>
      </c>
      <c r="D16" s="13" t="s">
        <v>23</v>
      </c>
      <c r="E16" s="14">
        <v>60</v>
      </c>
      <c r="F16" s="4">
        <v>473</v>
      </c>
      <c r="G16" s="6">
        <f t="shared" ref="G16:G50" si="0">SUM(H16:BX16)</f>
        <v>60</v>
      </c>
      <c r="H16" s="15"/>
      <c r="I16" s="15"/>
      <c r="J16" s="68"/>
      <c r="K16" s="68"/>
      <c r="L16" s="68"/>
      <c r="M16" s="68"/>
      <c r="N16" s="69"/>
      <c r="O16" s="70"/>
      <c r="P16" s="71"/>
      <c r="Q16" s="15"/>
      <c r="R16" s="15"/>
      <c r="S16" s="93">
        <v>2</v>
      </c>
      <c r="T16" s="93">
        <v>2</v>
      </c>
      <c r="U16" s="93">
        <v>3</v>
      </c>
      <c r="V16" s="93">
        <v>3</v>
      </c>
      <c r="W16" s="93">
        <v>4</v>
      </c>
      <c r="X16" s="93">
        <v>4</v>
      </c>
      <c r="Y16" s="68"/>
      <c r="Z16" s="93">
        <v>2</v>
      </c>
      <c r="AA16" s="93">
        <v>2</v>
      </c>
      <c r="AB16" s="68"/>
      <c r="AC16" s="68"/>
      <c r="AD16" s="68"/>
      <c r="AE16" s="68"/>
      <c r="AF16" s="68"/>
      <c r="AG16" s="68"/>
      <c r="AH16" s="68"/>
      <c r="AI16" s="93">
        <v>4</v>
      </c>
      <c r="AJ16" s="93">
        <v>4</v>
      </c>
      <c r="AK16" s="93">
        <v>4</v>
      </c>
      <c r="AL16" s="93">
        <v>4</v>
      </c>
      <c r="AM16" s="68"/>
      <c r="AN16" s="93">
        <v>4</v>
      </c>
      <c r="AO16" s="93">
        <v>4</v>
      </c>
      <c r="AP16" s="93">
        <v>4</v>
      </c>
      <c r="AQ16" s="93">
        <v>4</v>
      </c>
      <c r="AR16" s="93">
        <v>4</v>
      </c>
      <c r="AS16" s="93">
        <v>2</v>
      </c>
      <c r="AT16" s="70"/>
      <c r="AU16" s="71"/>
      <c r="AV16" s="15"/>
      <c r="AW16" s="15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</row>
    <row r="17" spans="1:76" ht="15" customHeight="1" x14ac:dyDescent="0.25">
      <c r="A17" s="7">
        <v>16</v>
      </c>
      <c r="B17" s="136"/>
      <c r="C17" s="7" t="s">
        <v>24</v>
      </c>
      <c r="D17" s="16" t="s">
        <v>23</v>
      </c>
      <c r="E17" s="17">
        <v>60</v>
      </c>
      <c r="F17" s="7">
        <v>426</v>
      </c>
      <c r="G17" s="6">
        <f t="shared" si="0"/>
        <v>60</v>
      </c>
      <c r="H17" s="18"/>
      <c r="I17" s="18"/>
      <c r="J17" s="72"/>
      <c r="K17" s="72"/>
      <c r="L17" s="72"/>
      <c r="M17" s="72"/>
      <c r="N17" s="73"/>
      <c r="O17" s="55"/>
      <c r="P17" s="62"/>
      <c r="Q17" s="18"/>
      <c r="R17" s="18"/>
      <c r="S17" s="94">
        <v>2</v>
      </c>
      <c r="T17" s="94">
        <v>2</v>
      </c>
      <c r="U17" s="94">
        <v>3</v>
      </c>
      <c r="V17" s="94">
        <v>3</v>
      </c>
      <c r="W17" s="94">
        <v>4</v>
      </c>
      <c r="X17" s="94">
        <v>4</v>
      </c>
      <c r="Y17" s="72"/>
      <c r="Z17" s="94">
        <v>2</v>
      </c>
      <c r="AA17" s="94">
        <v>2</v>
      </c>
      <c r="AB17" s="72"/>
      <c r="AC17" s="72"/>
      <c r="AD17" s="72"/>
      <c r="AE17" s="72"/>
      <c r="AF17" s="72"/>
      <c r="AG17" s="72"/>
      <c r="AH17" s="72"/>
      <c r="AI17" s="94">
        <v>4</v>
      </c>
      <c r="AJ17" s="94">
        <v>4</v>
      </c>
      <c r="AK17" s="94">
        <v>4</v>
      </c>
      <c r="AL17" s="94">
        <v>4</v>
      </c>
      <c r="AM17" s="72"/>
      <c r="AN17" s="93">
        <v>4</v>
      </c>
      <c r="AO17" s="93">
        <v>4</v>
      </c>
      <c r="AP17" s="93">
        <v>4</v>
      </c>
      <c r="AQ17" s="93">
        <v>4</v>
      </c>
      <c r="AR17" s="93">
        <v>4</v>
      </c>
      <c r="AS17" s="94">
        <v>2</v>
      </c>
      <c r="AT17" s="55"/>
      <c r="AU17" s="62"/>
      <c r="AV17" s="18"/>
      <c r="AW17" s="18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</row>
    <row r="18" spans="1:76" ht="15" customHeight="1" x14ac:dyDescent="0.25">
      <c r="A18" s="7">
        <v>17</v>
      </c>
      <c r="B18" s="136"/>
      <c r="C18" s="19" t="s">
        <v>25</v>
      </c>
      <c r="D18" s="20" t="s">
        <v>23</v>
      </c>
      <c r="E18" s="21">
        <v>3</v>
      </c>
      <c r="F18" s="19">
        <v>945</v>
      </c>
      <c r="G18" s="6">
        <f t="shared" si="0"/>
        <v>3</v>
      </c>
      <c r="H18" s="18"/>
      <c r="I18" s="18"/>
      <c r="J18" s="72"/>
      <c r="K18" s="72"/>
      <c r="L18" s="72"/>
      <c r="M18" s="72"/>
      <c r="N18" s="73"/>
      <c r="O18" s="55"/>
      <c r="P18" s="62"/>
      <c r="Q18" s="18"/>
      <c r="R18" s="18"/>
      <c r="S18" s="94">
        <v>1</v>
      </c>
      <c r="T18" s="94">
        <v>2</v>
      </c>
      <c r="U18" s="95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55"/>
      <c r="AU18" s="62"/>
      <c r="AV18" s="18"/>
      <c r="AW18" s="18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</row>
    <row r="19" spans="1:76" ht="15" customHeight="1" x14ac:dyDescent="0.25">
      <c r="A19" s="7">
        <v>18</v>
      </c>
      <c r="B19" s="136"/>
      <c r="C19" s="22" t="s">
        <v>26</v>
      </c>
      <c r="D19" s="23" t="s">
        <v>23</v>
      </c>
      <c r="E19" s="24">
        <v>6</v>
      </c>
      <c r="F19" s="22">
        <v>1035</v>
      </c>
      <c r="G19" s="6">
        <f t="shared" si="0"/>
        <v>6</v>
      </c>
      <c r="H19" s="9"/>
      <c r="I19" s="9"/>
      <c r="J19" s="64"/>
      <c r="K19" s="64"/>
      <c r="L19" s="64"/>
      <c r="M19" s="64"/>
      <c r="N19" s="65"/>
      <c r="O19" s="74"/>
      <c r="P19" s="63"/>
      <c r="Q19" s="9"/>
      <c r="R19" s="9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92">
        <v>1</v>
      </c>
      <c r="AD19" s="92">
        <v>1</v>
      </c>
      <c r="AE19" s="92">
        <v>1</v>
      </c>
      <c r="AF19" s="64"/>
      <c r="AG19" s="92">
        <v>1</v>
      </c>
      <c r="AH19" s="92">
        <v>1</v>
      </c>
      <c r="AI19" s="92">
        <v>1</v>
      </c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74"/>
      <c r="AU19" s="63"/>
      <c r="AV19" s="9"/>
      <c r="AW19" s="9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</row>
    <row r="20" spans="1:76" ht="15" customHeight="1" x14ac:dyDescent="0.25">
      <c r="A20" s="7">
        <v>19</v>
      </c>
      <c r="B20" s="136"/>
      <c r="C20" s="19" t="s">
        <v>27</v>
      </c>
      <c r="D20" s="20" t="s">
        <v>23</v>
      </c>
      <c r="E20" s="21">
        <v>3</v>
      </c>
      <c r="F20" s="19">
        <v>925</v>
      </c>
      <c r="G20" s="6">
        <f t="shared" si="0"/>
        <v>3</v>
      </c>
      <c r="H20" s="9"/>
      <c r="I20" s="9"/>
      <c r="J20" s="64"/>
      <c r="K20" s="64"/>
      <c r="L20" s="64"/>
      <c r="M20" s="64"/>
      <c r="N20" s="65"/>
      <c r="O20" s="74"/>
      <c r="P20" s="63"/>
      <c r="Q20" s="9"/>
      <c r="R20" s="9"/>
      <c r="S20" s="64"/>
      <c r="T20" s="64"/>
      <c r="U20" s="92">
        <v>2</v>
      </c>
      <c r="V20" s="92">
        <v>1</v>
      </c>
      <c r="W20" s="96"/>
      <c r="X20" s="96"/>
      <c r="Y20" s="96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74"/>
      <c r="AU20" s="63"/>
      <c r="AV20" s="9"/>
      <c r="AW20" s="9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</row>
    <row r="21" spans="1:76" ht="15" customHeight="1" x14ac:dyDescent="0.25">
      <c r="A21" s="7">
        <v>20</v>
      </c>
      <c r="B21" s="136"/>
      <c r="C21" s="19" t="s">
        <v>28</v>
      </c>
      <c r="D21" s="20" t="s">
        <v>23</v>
      </c>
      <c r="E21" s="21">
        <v>3</v>
      </c>
      <c r="F21" s="19">
        <v>925</v>
      </c>
      <c r="G21" s="6">
        <f t="shared" si="0"/>
        <v>3</v>
      </c>
      <c r="H21" s="9"/>
      <c r="I21" s="9"/>
      <c r="J21" s="64"/>
      <c r="K21" s="64"/>
      <c r="L21" s="64"/>
      <c r="M21" s="64"/>
      <c r="N21" s="65"/>
      <c r="O21" s="74"/>
      <c r="P21" s="63"/>
      <c r="Q21" s="9"/>
      <c r="R21" s="9"/>
      <c r="S21" s="64"/>
      <c r="T21" s="64"/>
      <c r="U21" s="64"/>
      <c r="V21" s="92">
        <v>1</v>
      </c>
      <c r="W21" s="92">
        <v>2</v>
      </c>
      <c r="X21" s="96"/>
      <c r="Y21" s="96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74"/>
      <c r="AU21" s="63"/>
      <c r="AV21" s="9"/>
      <c r="AW21" s="9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</row>
    <row r="22" spans="1:76" ht="15" customHeight="1" x14ac:dyDescent="0.25">
      <c r="A22" s="7">
        <v>21</v>
      </c>
      <c r="B22" s="136"/>
      <c r="C22" s="25" t="s">
        <v>29</v>
      </c>
      <c r="D22" s="26" t="s">
        <v>23</v>
      </c>
      <c r="E22" s="27">
        <v>3</v>
      </c>
      <c r="F22" s="25">
        <v>917</v>
      </c>
      <c r="G22" s="6">
        <f t="shared" si="0"/>
        <v>3</v>
      </c>
      <c r="H22" s="9"/>
      <c r="I22" s="9"/>
      <c r="J22" s="64"/>
      <c r="K22" s="64"/>
      <c r="L22" s="64"/>
      <c r="M22" s="64"/>
      <c r="N22" s="65"/>
      <c r="O22" s="74"/>
      <c r="P22" s="63"/>
      <c r="Q22" s="9"/>
      <c r="R22" s="9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92">
        <v>1</v>
      </c>
      <c r="AD22" s="92">
        <v>1</v>
      </c>
      <c r="AE22" s="92">
        <v>1</v>
      </c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74"/>
      <c r="AU22" s="63"/>
      <c r="AV22" s="9"/>
      <c r="AW22" s="9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</row>
    <row r="23" spans="1:76" ht="15" customHeight="1" x14ac:dyDescent="0.25">
      <c r="A23" s="7">
        <v>22</v>
      </c>
      <c r="B23" s="136"/>
      <c r="C23" s="25" t="s">
        <v>30</v>
      </c>
      <c r="D23" s="26" t="s">
        <v>23</v>
      </c>
      <c r="E23" s="27">
        <v>3</v>
      </c>
      <c r="F23" s="25">
        <v>917</v>
      </c>
      <c r="G23" s="6">
        <f t="shared" si="0"/>
        <v>3</v>
      </c>
      <c r="H23" s="9"/>
      <c r="I23" s="9"/>
      <c r="J23" s="64"/>
      <c r="K23" s="64"/>
      <c r="L23" s="64"/>
      <c r="M23" s="64"/>
      <c r="N23" s="65"/>
      <c r="O23" s="74"/>
      <c r="P23" s="63"/>
      <c r="Q23" s="9"/>
      <c r="R23" s="9"/>
      <c r="S23" s="64"/>
      <c r="T23" s="64"/>
      <c r="U23" s="64"/>
      <c r="V23" s="64"/>
      <c r="W23" s="64"/>
      <c r="X23" s="64"/>
      <c r="Y23" s="64"/>
      <c r="Z23" s="92">
        <v>1</v>
      </c>
      <c r="AA23" s="92">
        <v>1</v>
      </c>
      <c r="AB23" s="92">
        <v>1</v>
      </c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74"/>
      <c r="AU23" s="63"/>
      <c r="AV23" s="9"/>
      <c r="AW23" s="9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</row>
    <row r="24" spans="1:76" ht="15" customHeight="1" x14ac:dyDescent="0.25">
      <c r="A24" s="7">
        <v>23</v>
      </c>
      <c r="B24" s="136"/>
      <c r="C24" s="7" t="s">
        <v>31</v>
      </c>
      <c r="D24" s="16" t="s">
        <v>23</v>
      </c>
      <c r="E24" s="17">
        <v>21</v>
      </c>
      <c r="F24" s="7">
        <v>785</v>
      </c>
      <c r="G24" s="6">
        <f t="shared" si="0"/>
        <v>21</v>
      </c>
      <c r="H24" s="9"/>
      <c r="I24" s="9"/>
      <c r="J24" s="64"/>
      <c r="K24" s="64"/>
      <c r="L24" s="64"/>
      <c r="M24" s="64"/>
      <c r="N24" s="65"/>
      <c r="O24" s="74"/>
      <c r="P24" s="63"/>
      <c r="Q24" s="9"/>
      <c r="R24" s="9"/>
      <c r="S24" s="64"/>
      <c r="T24" s="64"/>
      <c r="U24" s="64"/>
      <c r="V24" s="64"/>
      <c r="W24" s="92">
        <v>1</v>
      </c>
      <c r="X24" s="92">
        <v>1</v>
      </c>
      <c r="Y24" s="64"/>
      <c r="Z24" s="64"/>
      <c r="AA24" s="64"/>
      <c r="AB24" s="92">
        <v>1</v>
      </c>
      <c r="AC24" s="92">
        <v>1</v>
      </c>
      <c r="AD24" s="92">
        <v>1</v>
      </c>
      <c r="AE24" s="92">
        <v>1</v>
      </c>
      <c r="AF24" s="64"/>
      <c r="AG24" s="92">
        <v>1</v>
      </c>
      <c r="AH24" s="92">
        <v>1</v>
      </c>
      <c r="AI24" s="92">
        <v>1</v>
      </c>
      <c r="AJ24" s="92">
        <v>1</v>
      </c>
      <c r="AK24" s="92">
        <v>2</v>
      </c>
      <c r="AL24" s="92">
        <v>2</v>
      </c>
      <c r="AM24" s="64"/>
      <c r="AN24" s="92">
        <v>1</v>
      </c>
      <c r="AO24" s="92">
        <v>1</v>
      </c>
      <c r="AP24" s="92">
        <v>2</v>
      </c>
      <c r="AQ24" s="92">
        <v>1</v>
      </c>
      <c r="AR24" s="92">
        <v>1</v>
      </c>
      <c r="AS24" s="92">
        <v>1</v>
      </c>
      <c r="AT24" s="74"/>
      <c r="AU24" s="63"/>
      <c r="AV24" s="9"/>
      <c r="AW24" s="9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</row>
    <row r="25" spans="1:76" ht="15" customHeight="1" x14ac:dyDescent="0.25">
      <c r="A25" s="7">
        <v>24</v>
      </c>
      <c r="B25" s="136"/>
      <c r="C25" s="7" t="s">
        <v>32</v>
      </c>
      <c r="D25" s="16" t="s">
        <v>23</v>
      </c>
      <c r="E25" s="17">
        <v>18</v>
      </c>
      <c r="F25" s="7">
        <v>838</v>
      </c>
      <c r="G25" s="6">
        <f t="shared" si="0"/>
        <v>18</v>
      </c>
      <c r="H25" s="9"/>
      <c r="I25" s="9"/>
      <c r="J25" s="64"/>
      <c r="K25" s="64"/>
      <c r="L25" s="64"/>
      <c r="M25" s="64"/>
      <c r="N25" s="65"/>
      <c r="O25" s="74"/>
      <c r="P25" s="63"/>
      <c r="Q25" s="9"/>
      <c r="R25" s="9"/>
      <c r="S25" s="64"/>
      <c r="T25" s="64"/>
      <c r="U25" s="64"/>
      <c r="V25" s="64"/>
      <c r="W25" s="92">
        <v>1</v>
      </c>
      <c r="X25" s="92">
        <v>1</v>
      </c>
      <c r="Y25" s="64"/>
      <c r="Z25" s="92">
        <v>1</v>
      </c>
      <c r="AA25" s="92">
        <v>1</v>
      </c>
      <c r="AB25" s="92">
        <v>1</v>
      </c>
      <c r="AC25" s="92">
        <v>1</v>
      </c>
      <c r="AD25" s="92">
        <v>1</v>
      </c>
      <c r="AE25" s="92">
        <v>1</v>
      </c>
      <c r="AF25" s="64"/>
      <c r="AG25" s="92">
        <v>1</v>
      </c>
      <c r="AH25" s="92">
        <v>1</v>
      </c>
      <c r="AI25" s="92">
        <v>1</v>
      </c>
      <c r="AJ25" s="92">
        <v>1</v>
      </c>
      <c r="AK25" s="92">
        <v>1</v>
      </c>
      <c r="AL25" s="92">
        <v>1</v>
      </c>
      <c r="AM25" s="64"/>
      <c r="AN25" s="92">
        <v>1</v>
      </c>
      <c r="AO25" s="92">
        <v>1</v>
      </c>
      <c r="AP25" s="92">
        <v>1</v>
      </c>
      <c r="AQ25" s="92">
        <v>1</v>
      </c>
      <c r="AR25" s="64"/>
      <c r="AS25" s="64"/>
      <c r="AT25" s="74"/>
      <c r="AU25" s="63"/>
      <c r="AV25" s="9"/>
      <c r="AW25" s="9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</row>
    <row r="26" spans="1:76" ht="15" customHeight="1" x14ac:dyDescent="0.25">
      <c r="A26" s="7">
        <v>25</v>
      </c>
      <c r="B26" s="136"/>
      <c r="C26" s="19" t="s">
        <v>33</v>
      </c>
      <c r="D26" s="20" t="s">
        <v>23</v>
      </c>
      <c r="E26" s="21">
        <v>3</v>
      </c>
      <c r="F26" s="19">
        <v>585</v>
      </c>
      <c r="G26" s="6">
        <f t="shared" si="0"/>
        <v>3</v>
      </c>
      <c r="H26" s="9"/>
      <c r="I26" s="9"/>
      <c r="J26" s="64"/>
      <c r="K26" s="64"/>
      <c r="L26" s="64"/>
      <c r="M26" s="64"/>
      <c r="N26" s="65"/>
      <c r="O26" s="74"/>
      <c r="P26" s="63"/>
      <c r="Q26" s="9"/>
      <c r="R26" s="9"/>
      <c r="S26" s="64"/>
      <c r="T26" s="64"/>
      <c r="U26" s="64"/>
      <c r="V26" s="64"/>
      <c r="W26" s="64"/>
      <c r="X26" s="92">
        <v>1</v>
      </c>
      <c r="Y26" s="64"/>
      <c r="Z26" s="92">
        <v>1</v>
      </c>
      <c r="AA26" s="92">
        <v>1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74"/>
      <c r="AU26" s="63"/>
      <c r="AV26" s="9"/>
      <c r="AW26" s="9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</row>
    <row r="27" spans="1:76" ht="15" customHeight="1" x14ac:dyDescent="0.25">
      <c r="A27" s="7">
        <v>26</v>
      </c>
      <c r="B27" s="136"/>
      <c r="C27" s="22" t="s">
        <v>34</v>
      </c>
      <c r="D27" s="23" t="s">
        <v>23</v>
      </c>
      <c r="E27" s="24">
        <v>6</v>
      </c>
      <c r="F27" s="22">
        <v>977</v>
      </c>
      <c r="G27" s="6">
        <f t="shared" si="0"/>
        <v>6</v>
      </c>
      <c r="H27" s="9"/>
      <c r="I27" s="9"/>
      <c r="J27" s="64"/>
      <c r="K27" s="64"/>
      <c r="L27" s="64"/>
      <c r="M27" s="64"/>
      <c r="N27" s="65"/>
      <c r="O27" s="74"/>
      <c r="P27" s="63"/>
      <c r="Q27" s="9"/>
      <c r="R27" s="9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92">
        <v>1</v>
      </c>
      <c r="AJ27" s="92">
        <v>2</v>
      </c>
      <c r="AK27" s="92">
        <v>2</v>
      </c>
      <c r="AL27" s="92">
        <v>1</v>
      </c>
      <c r="AM27" s="64"/>
      <c r="AN27" s="64"/>
      <c r="AO27" s="64"/>
      <c r="AP27" s="64"/>
      <c r="AQ27" s="64"/>
      <c r="AR27" s="64"/>
      <c r="AS27" s="64"/>
      <c r="AT27" s="74"/>
      <c r="AU27" s="63"/>
      <c r="AV27" s="9"/>
      <c r="AW27" s="9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</row>
    <row r="28" spans="1:76" ht="15" customHeight="1" x14ac:dyDescent="0.25">
      <c r="A28" s="7">
        <v>27</v>
      </c>
      <c r="B28" s="136"/>
      <c r="C28" s="28" t="s">
        <v>35</v>
      </c>
      <c r="D28" s="29" t="s">
        <v>23</v>
      </c>
      <c r="E28" s="30">
        <v>3</v>
      </c>
      <c r="F28" s="28">
        <v>673</v>
      </c>
      <c r="G28" s="6">
        <f t="shared" si="0"/>
        <v>3</v>
      </c>
      <c r="H28" s="9"/>
      <c r="I28" s="9"/>
      <c r="J28" s="64"/>
      <c r="K28" s="64"/>
      <c r="L28" s="64"/>
      <c r="M28" s="64"/>
      <c r="N28" s="65"/>
      <c r="O28" s="74"/>
      <c r="P28" s="63"/>
      <c r="Q28" s="9"/>
      <c r="R28" s="9"/>
      <c r="S28" s="64"/>
      <c r="T28" s="64"/>
      <c r="U28" s="64"/>
      <c r="V28" s="64"/>
      <c r="W28" s="92">
        <v>1</v>
      </c>
      <c r="X28" s="92">
        <v>1</v>
      </c>
      <c r="Y28" s="64"/>
      <c r="Z28" s="64"/>
      <c r="AA28" s="64"/>
      <c r="AB28" s="64"/>
      <c r="AC28" s="64"/>
      <c r="AD28" s="64"/>
      <c r="AE28" s="64"/>
      <c r="AF28" s="64"/>
      <c r="AG28" s="92">
        <v>1</v>
      </c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74"/>
      <c r="AU28" s="63"/>
      <c r="AV28" s="9"/>
      <c r="AW28" s="9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</row>
    <row r="29" spans="1:76" ht="15" customHeight="1" x14ac:dyDescent="0.25">
      <c r="A29" s="7">
        <v>28</v>
      </c>
      <c r="B29" s="136"/>
      <c r="C29" s="28" t="s">
        <v>36</v>
      </c>
      <c r="D29" s="29" t="s">
        <v>23</v>
      </c>
      <c r="E29" s="30">
        <v>3</v>
      </c>
      <c r="F29" s="28">
        <v>673</v>
      </c>
      <c r="G29" s="6">
        <f t="shared" si="0"/>
        <v>3</v>
      </c>
      <c r="H29" s="9"/>
      <c r="I29" s="9"/>
      <c r="J29" s="64"/>
      <c r="K29" s="64"/>
      <c r="L29" s="64"/>
      <c r="M29" s="64"/>
      <c r="N29" s="65"/>
      <c r="O29" s="74"/>
      <c r="P29" s="63"/>
      <c r="Q29" s="9"/>
      <c r="R29" s="9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92">
        <v>1</v>
      </c>
      <c r="AH29" s="92">
        <v>2</v>
      </c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74"/>
      <c r="AU29" s="63"/>
      <c r="AV29" s="9"/>
      <c r="AW29" s="9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</row>
    <row r="30" spans="1:76" ht="15" customHeight="1" x14ac:dyDescent="0.25">
      <c r="A30" s="7">
        <v>29</v>
      </c>
      <c r="B30" s="136"/>
      <c r="C30" s="31" t="s">
        <v>37</v>
      </c>
      <c r="D30" s="32" t="s">
        <v>23</v>
      </c>
      <c r="E30" s="33">
        <v>3</v>
      </c>
      <c r="F30" s="31">
        <v>735</v>
      </c>
      <c r="G30" s="6">
        <f t="shared" si="0"/>
        <v>3</v>
      </c>
      <c r="H30" s="9"/>
      <c r="I30" s="9"/>
      <c r="J30" s="64"/>
      <c r="K30" s="64"/>
      <c r="L30" s="64"/>
      <c r="M30" s="64"/>
      <c r="N30" s="65"/>
      <c r="O30" s="74"/>
      <c r="P30" s="63"/>
      <c r="Q30" s="9"/>
      <c r="R30" s="9"/>
      <c r="S30" s="64"/>
      <c r="T30" s="64"/>
      <c r="U30" s="64"/>
      <c r="V30" s="64"/>
      <c r="W30" s="64"/>
      <c r="X30" s="64"/>
      <c r="Y30" s="64"/>
      <c r="Z30" s="92">
        <v>1</v>
      </c>
      <c r="AA30" s="92">
        <v>1</v>
      </c>
      <c r="AB30" s="92">
        <v>1</v>
      </c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74"/>
      <c r="AU30" s="63"/>
      <c r="AV30" s="9"/>
      <c r="AW30" s="9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</row>
    <row r="31" spans="1:76" ht="15" customHeight="1" x14ac:dyDescent="0.25">
      <c r="A31" s="7">
        <v>30</v>
      </c>
      <c r="B31" s="136"/>
      <c r="C31" s="31" t="s">
        <v>38</v>
      </c>
      <c r="D31" s="32" t="s">
        <v>23</v>
      </c>
      <c r="E31" s="33">
        <v>3</v>
      </c>
      <c r="F31" s="31">
        <v>735</v>
      </c>
      <c r="G31" s="6">
        <f t="shared" si="0"/>
        <v>3</v>
      </c>
      <c r="H31" s="9"/>
      <c r="I31" s="9"/>
      <c r="J31" s="64"/>
      <c r="K31" s="64"/>
      <c r="L31" s="64"/>
      <c r="M31" s="64"/>
      <c r="N31" s="65"/>
      <c r="O31" s="74"/>
      <c r="P31" s="63"/>
      <c r="Q31" s="9"/>
      <c r="R31" s="9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92">
        <v>1</v>
      </c>
      <c r="AD31" s="92">
        <v>1</v>
      </c>
      <c r="AE31" s="92">
        <v>1</v>
      </c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74"/>
      <c r="AU31" s="63"/>
      <c r="AV31" s="9"/>
      <c r="AW31" s="9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</row>
    <row r="32" spans="1:76" ht="15" customHeight="1" x14ac:dyDescent="0.25">
      <c r="A32" s="7">
        <v>31</v>
      </c>
      <c r="B32" s="136"/>
      <c r="C32" s="7" t="s">
        <v>39</v>
      </c>
      <c r="D32" s="16" t="s">
        <v>23</v>
      </c>
      <c r="E32" s="17">
        <v>39</v>
      </c>
      <c r="F32" s="7">
        <v>496</v>
      </c>
      <c r="G32" s="6">
        <f t="shared" si="0"/>
        <v>39</v>
      </c>
      <c r="H32" s="9"/>
      <c r="I32" s="9"/>
      <c r="J32" s="64"/>
      <c r="K32" s="64"/>
      <c r="L32" s="64"/>
      <c r="M32" s="64"/>
      <c r="N32" s="65"/>
      <c r="O32" s="74"/>
      <c r="P32" s="63"/>
      <c r="Q32" s="9"/>
      <c r="R32" s="9"/>
      <c r="S32" s="64"/>
      <c r="T32" s="64"/>
      <c r="U32" s="92">
        <v>1</v>
      </c>
      <c r="V32" s="92">
        <v>1</v>
      </c>
      <c r="W32" s="92">
        <v>1</v>
      </c>
      <c r="X32" s="92">
        <v>2</v>
      </c>
      <c r="Y32" s="64"/>
      <c r="Z32" s="92">
        <v>2</v>
      </c>
      <c r="AA32" s="92">
        <v>2</v>
      </c>
      <c r="AB32" s="92">
        <v>2</v>
      </c>
      <c r="AC32" s="92">
        <v>2</v>
      </c>
      <c r="AD32" s="92">
        <v>2</v>
      </c>
      <c r="AE32" s="92">
        <v>2</v>
      </c>
      <c r="AF32" s="64"/>
      <c r="AG32" s="92">
        <v>2</v>
      </c>
      <c r="AH32" s="92">
        <v>2</v>
      </c>
      <c r="AI32" s="92">
        <v>2</v>
      </c>
      <c r="AJ32" s="92">
        <v>2</v>
      </c>
      <c r="AK32" s="92">
        <v>2</v>
      </c>
      <c r="AL32" s="92">
        <v>2</v>
      </c>
      <c r="AM32" s="64"/>
      <c r="AN32" s="92">
        <v>2</v>
      </c>
      <c r="AO32" s="92">
        <v>2</v>
      </c>
      <c r="AP32" s="92">
        <v>2</v>
      </c>
      <c r="AQ32" s="92">
        <v>2</v>
      </c>
      <c r="AR32" s="92">
        <v>2</v>
      </c>
      <c r="AS32" s="64"/>
      <c r="AT32" s="74"/>
      <c r="AU32" s="63"/>
      <c r="AV32" s="9"/>
      <c r="AW32" s="9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</row>
    <row r="33" spans="1:76" ht="15" customHeight="1" x14ac:dyDescent="0.25">
      <c r="A33" s="7">
        <v>32</v>
      </c>
      <c r="B33" s="136"/>
      <c r="C33" s="22" t="s">
        <v>40</v>
      </c>
      <c r="D33" s="23" t="s">
        <v>23</v>
      </c>
      <c r="E33" s="24">
        <v>3</v>
      </c>
      <c r="F33" s="22">
        <v>702</v>
      </c>
      <c r="G33" s="6">
        <f t="shared" si="0"/>
        <v>3</v>
      </c>
      <c r="H33" s="9"/>
      <c r="I33" s="9"/>
      <c r="J33" s="64"/>
      <c r="K33" s="64"/>
      <c r="L33" s="64"/>
      <c r="M33" s="64"/>
      <c r="N33" s="65"/>
      <c r="O33" s="74"/>
      <c r="P33" s="63"/>
      <c r="Q33" s="9"/>
      <c r="R33" s="9"/>
      <c r="S33" s="64"/>
      <c r="T33" s="64"/>
      <c r="U33" s="64"/>
      <c r="V33" s="64"/>
      <c r="W33" s="64"/>
      <c r="X33" s="64"/>
      <c r="Y33" s="64"/>
      <c r="Z33" s="92">
        <v>1</v>
      </c>
      <c r="AA33" s="92">
        <v>1</v>
      </c>
      <c r="AB33" s="92">
        <v>1</v>
      </c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74"/>
      <c r="AU33" s="63"/>
      <c r="AV33" s="9"/>
      <c r="AW33" s="9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</row>
    <row r="34" spans="1:76" ht="15" customHeight="1" x14ac:dyDescent="0.25">
      <c r="A34" s="7">
        <v>33</v>
      </c>
      <c r="B34" s="136"/>
      <c r="C34" s="7" t="s">
        <v>41</v>
      </c>
      <c r="D34" s="16" t="s">
        <v>23</v>
      </c>
      <c r="E34" s="17">
        <v>12</v>
      </c>
      <c r="F34" s="7">
        <v>365</v>
      </c>
      <c r="G34" s="6">
        <f t="shared" si="0"/>
        <v>12</v>
      </c>
      <c r="H34" s="9"/>
      <c r="I34" s="9"/>
      <c r="J34" s="64"/>
      <c r="K34" s="64"/>
      <c r="L34" s="64"/>
      <c r="M34" s="64"/>
      <c r="N34" s="65"/>
      <c r="O34" s="74"/>
      <c r="P34" s="63"/>
      <c r="Q34" s="9"/>
      <c r="R34" s="9"/>
      <c r="S34" s="64"/>
      <c r="T34" s="64"/>
      <c r="U34" s="64"/>
      <c r="V34" s="64"/>
      <c r="W34" s="64"/>
      <c r="X34" s="92">
        <v>1</v>
      </c>
      <c r="Y34" s="64"/>
      <c r="Z34" s="92">
        <v>1</v>
      </c>
      <c r="AA34" s="92">
        <v>1</v>
      </c>
      <c r="AB34" s="92">
        <v>1</v>
      </c>
      <c r="AC34" s="92">
        <v>1</v>
      </c>
      <c r="AD34" s="92">
        <v>1</v>
      </c>
      <c r="AE34" s="92">
        <v>1</v>
      </c>
      <c r="AF34" s="64"/>
      <c r="AG34" s="64"/>
      <c r="AH34" s="64"/>
      <c r="AI34" s="64"/>
      <c r="AJ34" s="92">
        <v>1</v>
      </c>
      <c r="AK34" s="92">
        <v>1</v>
      </c>
      <c r="AL34" s="92">
        <v>1</v>
      </c>
      <c r="AM34" s="64"/>
      <c r="AN34" s="92">
        <v>1</v>
      </c>
      <c r="AO34" s="92">
        <v>1</v>
      </c>
      <c r="AP34" s="64"/>
      <c r="AQ34" s="64"/>
      <c r="AR34" s="64"/>
      <c r="AS34" s="64"/>
      <c r="AT34" s="74"/>
      <c r="AU34" s="63"/>
      <c r="AV34" s="9"/>
      <c r="AW34" s="9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</row>
    <row r="35" spans="1:76" ht="15" customHeight="1" x14ac:dyDescent="0.25">
      <c r="A35" s="7">
        <v>34</v>
      </c>
      <c r="B35" s="136"/>
      <c r="C35" s="34" t="s">
        <v>42</v>
      </c>
      <c r="D35" s="35" t="s">
        <v>23</v>
      </c>
      <c r="E35" s="36">
        <v>3</v>
      </c>
      <c r="F35" s="34">
        <v>687</v>
      </c>
      <c r="G35" s="6">
        <f t="shared" si="0"/>
        <v>3</v>
      </c>
      <c r="H35" s="9"/>
      <c r="I35" s="9"/>
      <c r="J35" s="64"/>
      <c r="K35" s="64"/>
      <c r="L35" s="64"/>
      <c r="M35" s="64"/>
      <c r="N35" s="65"/>
      <c r="O35" s="74"/>
      <c r="P35" s="63"/>
      <c r="Q35" s="9"/>
      <c r="R35" s="9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92">
        <v>1</v>
      </c>
      <c r="AD35" s="92">
        <v>1</v>
      </c>
      <c r="AE35" s="92">
        <v>1</v>
      </c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74"/>
      <c r="AU35" s="63"/>
      <c r="AV35" s="9"/>
      <c r="AW35" s="9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</row>
    <row r="36" spans="1:76" ht="15" customHeight="1" x14ac:dyDescent="0.25">
      <c r="A36" s="7">
        <v>35</v>
      </c>
      <c r="B36" s="136"/>
      <c r="C36" s="34" t="s">
        <v>43</v>
      </c>
      <c r="D36" s="35" t="s">
        <v>23</v>
      </c>
      <c r="E36" s="36">
        <v>3</v>
      </c>
      <c r="F36" s="34">
        <v>687</v>
      </c>
      <c r="G36" s="6">
        <f t="shared" si="0"/>
        <v>3</v>
      </c>
      <c r="H36" s="9"/>
      <c r="I36" s="9"/>
      <c r="J36" s="64"/>
      <c r="K36" s="64"/>
      <c r="L36" s="64"/>
      <c r="M36" s="64"/>
      <c r="N36" s="65"/>
      <c r="O36" s="74"/>
      <c r="P36" s="63"/>
      <c r="Q36" s="9"/>
      <c r="R36" s="9"/>
      <c r="S36" s="64"/>
      <c r="T36" s="64"/>
      <c r="U36" s="64"/>
      <c r="V36" s="64"/>
      <c r="W36" s="64"/>
      <c r="X36" s="64"/>
      <c r="Y36" s="64"/>
      <c r="Z36" s="92">
        <v>1</v>
      </c>
      <c r="AA36" s="92">
        <v>1</v>
      </c>
      <c r="AB36" s="92">
        <v>1</v>
      </c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74"/>
      <c r="AU36" s="63"/>
      <c r="AV36" s="9"/>
      <c r="AW36" s="9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</row>
    <row r="37" spans="1:76" ht="15" customHeight="1" x14ac:dyDescent="0.25">
      <c r="A37" s="7">
        <v>36</v>
      </c>
      <c r="B37" s="136"/>
      <c r="C37" s="7" t="s">
        <v>44</v>
      </c>
      <c r="D37" s="16" t="s">
        <v>23</v>
      </c>
      <c r="E37" s="17">
        <v>21</v>
      </c>
      <c r="F37" s="7">
        <v>537</v>
      </c>
      <c r="G37" s="6">
        <f t="shared" si="0"/>
        <v>21</v>
      </c>
      <c r="H37" s="9"/>
      <c r="I37" s="9"/>
      <c r="J37" s="64"/>
      <c r="K37" s="64"/>
      <c r="L37" s="64"/>
      <c r="M37" s="64"/>
      <c r="N37" s="65"/>
      <c r="O37" s="74"/>
      <c r="P37" s="63"/>
      <c r="Q37" s="9"/>
      <c r="R37" s="9"/>
      <c r="S37" s="64"/>
      <c r="T37" s="64"/>
      <c r="U37" s="64"/>
      <c r="V37" s="64"/>
      <c r="W37" s="64"/>
      <c r="X37" s="92">
        <v>1</v>
      </c>
      <c r="Y37" s="64"/>
      <c r="Z37" s="92">
        <v>1</v>
      </c>
      <c r="AA37" s="92">
        <v>1</v>
      </c>
      <c r="AB37" s="92">
        <v>1</v>
      </c>
      <c r="AC37" s="92">
        <v>1</v>
      </c>
      <c r="AD37" s="92">
        <v>1</v>
      </c>
      <c r="AE37" s="92">
        <v>1</v>
      </c>
      <c r="AF37" s="64"/>
      <c r="AG37" s="92">
        <v>1</v>
      </c>
      <c r="AH37" s="92">
        <v>1</v>
      </c>
      <c r="AI37" s="92">
        <v>1</v>
      </c>
      <c r="AJ37" s="92">
        <v>1</v>
      </c>
      <c r="AK37" s="92">
        <v>1</v>
      </c>
      <c r="AL37" s="92">
        <v>2</v>
      </c>
      <c r="AM37" s="64"/>
      <c r="AN37" s="92">
        <v>1</v>
      </c>
      <c r="AO37" s="92">
        <v>2</v>
      </c>
      <c r="AP37" s="92">
        <v>1</v>
      </c>
      <c r="AQ37" s="92">
        <v>1</v>
      </c>
      <c r="AR37" s="92">
        <v>1</v>
      </c>
      <c r="AS37" s="92">
        <v>1</v>
      </c>
      <c r="AT37" s="74"/>
      <c r="AU37" s="63"/>
      <c r="AV37" s="9"/>
      <c r="AW37" s="9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</row>
    <row r="38" spans="1:76" ht="15" customHeight="1" x14ac:dyDescent="0.25">
      <c r="A38" s="7">
        <v>37</v>
      </c>
      <c r="B38" s="136"/>
      <c r="C38" s="7" t="s">
        <v>45</v>
      </c>
      <c r="D38" s="16" t="s">
        <v>23</v>
      </c>
      <c r="E38" s="17">
        <v>18</v>
      </c>
      <c r="F38" s="7">
        <v>483</v>
      </c>
      <c r="G38" s="6">
        <f t="shared" si="0"/>
        <v>18</v>
      </c>
      <c r="H38" s="9"/>
      <c r="I38" s="9"/>
      <c r="J38" s="64"/>
      <c r="K38" s="64"/>
      <c r="L38" s="64"/>
      <c r="M38" s="64"/>
      <c r="N38" s="65"/>
      <c r="O38" s="74"/>
      <c r="P38" s="63"/>
      <c r="Q38" s="9"/>
      <c r="R38" s="9"/>
      <c r="S38" s="64"/>
      <c r="T38" s="64"/>
      <c r="U38" s="64"/>
      <c r="V38" s="64"/>
      <c r="W38" s="64"/>
      <c r="X38" s="92">
        <v>1</v>
      </c>
      <c r="Y38" s="64"/>
      <c r="Z38" s="64"/>
      <c r="AA38" s="64"/>
      <c r="AB38" s="64"/>
      <c r="AC38" s="92">
        <v>2</v>
      </c>
      <c r="AD38" s="92">
        <v>2</v>
      </c>
      <c r="AE38" s="92">
        <v>2</v>
      </c>
      <c r="AF38" s="64"/>
      <c r="AG38" s="64"/>
      <c r="AH38" s="92">
        <v>1</v>
      </c>
      <c r="AI38" s="92">
        <v>2</v>
      </c>
      <c r="AJ38" s="92">
        <v>1</v>
      </c>
      <c r="AK38" s="92">
        <v>1</v>
      </c>
      <c r="AL38" s="92">
        <v>1</v>
      </c>
      <c r="AM38" s="64"/>
      <c r="AN38" s="92">
        <v>2</v>
      </c>
      <c r="AO38" s="92">
        <v>1</v>
      </c>
      <c r="AP38" s="92">
        <v>1</v>
      </c>
      <c r="AQ38" s="92">
        <v>1</v>
      </c>
      <c r="AR38" s="64"/>
      <c r="AS38" s="64"/>
      <c r="AT38" s="74"/>
      <c r="AU38" s="63"/>
      <c r="AV38" s="9"/>
      <c r="AW38" s="9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</row>
    <row r="39" spans="1:76" ht="15" customHeight="1" x14ac:dyDescent="0.25">
      <c r="A39" s="7">
        <v>38</v>
      </c>
      <c r="B39" s="136"/>
      <c r="C39" s="7" t="s">
        <v>46</v>
      </c>
      <c r="D39" s="16" t="s">
        <v>23</v>
      </c>
      <c r="E39" s="17">
        <v>30</v>
      </c>
      <c r="F39" s="7">
        <v>433</v>
      </c>
      <c r="G39" s="6">
        <f t="shared" si="0"/>
        <v>30</v>
      </c>
      <c r="H39" s="9"/>
      <c r="I39" s="9"/>
      <c r="J39" s="64"/>
      <c r="K39" s="64"/>
      <c r="L39" s="64"/>
      <c r="M39" s="64"/>
      <c r="N39" s="65"/>
      <c r="O39" s="74"/>
      <c r="P39" s="63"/>
      <c r="Q39" s="9"/>
      <c r="R39" s="9"/>
      <c r="S39" s="64"/>
      <c r="T39" s="64"/>
      <c r="U39" s="64"/>
      <c r="V39" s="64"/>
      <c r="W39" s="92">
        <v>1</v>
      </c>
      <c r="X39" s="92">
        <v>1</v>
      </c>
      <c r="Y39" s="64"/>
      <c r="Z39" s="92">
        <v>2</v>
      </c>
      <c r="AA39" s="92">
        <v>2</v>
      </c>
      <c r="AB39" s="92">
        <v>2</v>
      </c>
      <c r="AC39" s="92">
        <v>2</v>
      </c>
      <c r="AD39" s="92">
        <v>2</v>
      </c>
      <c r="AE39" s="92">
        <v>2</v>
      </c>
      <c r="AF39" s="64"/>
      <c r="AG39" s="92">
        <v>2</v>
      </c>
      <c r="AH39" s="92">
        <v>2</v>
      </c>
      <c r="AI39" s="92">
        <v>1</v>
      </c>
      <c r="AJ39" s="92">
        <v>1</v>
      </c>
      <c r="AK39" s="92">
        <v>1</v>
      </c>
      <c r="AL39" s="64">
        <v>1</v>
      </c>
      <c r="AM39" s="64"/>
      <c r="AN39" s="92">
        <v>1</v>
      </c>
      <c r="AO39" s="92">
        <v>1</v>
      </c>
      <c r="AP39" s="92">
        <v>1</v>
      </c>
      <c r="AQ39" s="92">
        <v>1</v>
      </c>
      <c r="AR39" s="92">
        <v>1</v>
      </c>
      <c r="AS39" s="92">
        <v>2</v>
      </c>
      <c r="AT39" s="74"/>
      <c r="AU39" s="63">
        <v>1</v>
      </c>
      <c r="AV39" s="9"/>
      <c r="AW39" s="9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</row>
    <row r="40" spans="1:76" ht="15" customHeight="1" x14ac:dyDescent="0.25">
      <c r="A40" s="7">
        <v>39</v>
      </c>
      <c r="B40" s="136"/>
      <c r="C40" s="7" t="s">
        <v>47</v>
      </c>
      <c r="D40" s="16" t="s">
        <v>23</v>
      </c>
      <c r="E40" s="17">
        <v>30</v>
      </c>
      <c r="F40" s="7">
        <v>482</v>
      </c>
      <c r="G40" s="6">
        <f t="shared" si="0"/>
        <v>30</v>
      </c>
      <c r="H40" s="9"/>
      <c r="I40" s="9"/>
      <c r="J40" s="64"/>
      <c r="K40" s="64"/>
      <c r="L40" s="64"/>
      <c r="M40" s="64"/>
      <c r="N40" s="65"/>
      <c r="O40" s="74"/>
      <c r="P40" s="63"/>
      <c r="Q40" s="9"/>
      <c r="R40" s="9"/>
      <c r="S40" s="64"/>
      <c r="T40" s="64"/>
      <c r="U40" s="64"/>
      <c r="V40" s="64"/>
      <c r="W40" s="92">
        <v>1</v>
      </c>
      <c r="X40" s="92">
        <v>1</v>
      </c>
      <c r="Y40" s="64"/>
      <c r="Z40" s="92">
        <v>2</v>
      </c>
      <c r="AA40" s="92">
        <v>2</v>
      </c>
      <c r="AB40" s="92">
        <v>2</v>
      </c>
      <c r="AC40" s="92">
        <v>2</v>
      </c>
      <c r="AD40" s="92">
        <v>2</v>
      </c>
      <c r="AE40" s="92">
        <v>2</v>
      </c>
      <c r="AF40" s="64"/>
      <c r="AG40" s="92">
        <v>2</v>
      </c>
      <c r="AH40" s="92">
        <v>2</v>
      </c>
      <c r="AI40" s="92">
        <v>1</v>
      </c>
      <c r="AJ40" s="92">
        <v>1</v>
      </c>
      <c r="AK40" s="92">
        <v>1</v>
      </c>
      <c r="AL40" s="64">
        <v>1</v>
      </c>
      <c r="AM40" s="64"/>
      <c r="AN40" s="92">
        <v>1</v>
      </c>
      <c r="AO40" s="92">
        <v>1</v>
      </c>
      <c r="AP40" s="92">
        <v>1</v>
      </c>
      <c r="AQ40" s="92">
        <v>1</v>
      </c>
      <c r="AR40" s="92">
        <v>1</v>
      </c>
      <c r="AS40" s="92">
        <v>2</v>
      </c>
      <c r="AT40" s="74"/>
      <c r="AU40" s="63">
        <v>1</v>
      </c>
      <c r="AV40" s="9"/>
      <c r="AW40" s="9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</row>
    <row r="41" spans="1:76" ht="15" customHeight="1" x14ac:dyDescent="0.25">
      <c r="A41" s="7">
        <v>40</v>
      </c>
      <c r="B41" s="136"/>
      <c r="C41" s="7" t="s">
        <v>48</v>
      </c>
      <c r="D41" s="16" t="s">
        <v>23</v>
      </c>
      <c r="E41" s="17">
        <v>30</v>
      </c>
      <c r="F41" s="7">
        <v>411</v>
      </c>
      <c r="G41" s="6">
        <f t="shared" si="0"/>
        <v>30</v>
      </c>
      <c r="H41" s="9"/>
      <c r="I41" s="9"/>
      <c r="J41" s="64"/>
      <c r="K41" s="64"/>
      <c r="L41" s="64"/>
      <c r="M41" s="64"/>
      <c r="N41" s="65"/>
      <c r="O41" s="74"/>
      <c r="P41" s="63"/>
      <c r="Q41" s="9"/>
      <c r="R41" s="9"/>
      <c r="S41" s="64"/>
      <c r="T41" s="64"/>
      <c r="U41" s="64"/>
      <c r="V41" s="64"/>
      <c r="W41" s="64"/>
      <c r="X41" s="92">
        <v>1</v>
      </c>
      <c r="Y41" s="64"/>
      <c r="Z41" s="92">
        <v>1</v>
      </c>
      <c r="AA41" s="92">
        <v>1</v>
      </c>
      <c r="AB41" s="92">
        <v>1</v>
      </c>
      <c r="AC41" s="92">
        <v>1</v>
      </c>
      <c r="AD41" s="92">
        <v>1</v>
      </c>
      <c r="AE41" s="92">
        <v>1</v>
      </c>
      <c r="AF41" s="64"/>
      <c r="AG41" s="92">
        <v>1</v>
      </c>
      <c r="AH41" s="92">
        <v>1</v>
      </c>
      <c r="AI41" s="92">
        <v>1</v>
      </c>
      <c r="AJ41" s="92">
        <v>2</v>
      </c>
      <c r="AK41" s="92">
        <v>2</v>
      </c>
      <c r="AL41" s="64">
        <v>2</v>
      </c>
      <c r="AM41" s="64"/>
      <c r="AN41" s="92">
        <v>2</v>
      </c>
      <c r="AO41" s="92">
        <v>2</v>
      </c>
      <c r="AP41" s="92">
        <v>2</v>
      </c>
      <c r="AQ41" s="92">
        <v>2</v>
      </c>
      <c r="AR41" s="92">
        <v>2</v>
      </c>
      <c r="AS41" s="92">
        <v>2</v>
      </c>
      <c r="AT41" s="74"/>
      <c r="AU41" s="63">
        <v>2</v>
      </c>
      <c r="AV41" s="9"/>
      <c r="AW41" s="9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</row>
    <row r="42" spans="1:76" ht="15" customHeight="1" x14ac:dyDescent="0.25">
      <c r="A42" s="10">
        <v>41</v>
      </c>
      <c r="B42" s="137"/>
      <c r="C42" s="10" t="s">
        <v>49</v>
      </c>
      <c r="D42" s="37" t="s">
        <v>23</v>
      </c>
      <c r="E42" s="38">
        <v>30</v>
      </c>
      <c r="F42" s="10">
        <v>367</v>
      </c>
      <c r="G42" s="6">
        <f t="shared" si="0"/>
        <v>30</v>
      </c>
      <c r="H42" s="39"/>
      <c r="I42" s="39"/>
      <c r="J42" s="75"/>
      <c r="K42" s="75"/>
      <c r="L42" s="75"/>
      <c r="M42" s="75"/>
      <c r="N42" s="76"/>
      <c r="O42" s="56"/>
      <c r="P42" s="77"/>
      <c r="Q42" s="39"/>
      <c r="R42" s="39"/>
      <c r="S42" s="75"/>
      <c r="T42" s="75"/>
      <c r="U42" s="75"/>
      <c r="V42" s="75"/>
      <c r="W42" s="75"/>
      <c r="X42" s="97">
        <v>1</v>
      </c>
      <c r="Y42" s="75"/>
      <c r="Z42" s="97">
        <v>1</v>
      </c>
      <c r="AA42" s="97">
        <v>1</v>
      </c>
      <c r="AB42" s="97">
        <v>1</v>
      </c>
      <c r="AC42" s="97">
        <v>1</v>
      </c>
      <c r="AD42" s="97">
        <v>1</v>
      </c>
      <c r="AE42" s="97">
        <v>1</v>
      </c>
      <c r="AF42" s="75"/>
      <c r="AG42" s="97">
        <v>1</v>
      </c>
      <c r="AH42" s="97">
        <v>1</v>
      </c>
      <c r="AI42" s="97">
        <v>1</v>
      </c>
      <c r="AJ42" s="97">
        <v>2</v>
      </c>
      <c r="AK42" s="97">
        <v>2</v>
      </c>
      <c r="AL42" s="75">
        <v>2</v>
      </c>
      <c r="AM42" s="75"/>
      <c r="AN42" s="97">
        <v>2</v>
      </c>
      <c r="AO42" s="97">
        <v>2</v>
      </c>
      <c r="AP42" s="97">
        <v>2</v>
      </c>
      <c r="AQ42" s="97">
        <v>2</v>
      </c>
      <c r="AR42" s="97">
        <v>2</v>
      </c>
      <c r="AS42" s="97">
        <v>2</v>
      </c>
      <c r="AT42" s="56"/>
      <c r="AU42" s="77">
        <v>2</v>
      </c>
      <c r="AV42" s="39"/>
      <c r="AW42" s="39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</row>
    <row r="43" spans="1:76" ht="15" customHeight="1" x14ac:dyDescent="0.25">
      <c r="A43" s="4">
        <v>42</v>
      </c>
      <c r="B43" s="138" t="s">
        <v>50</v>
      </c>
      <c r="C43" s="4" t="s">
        <v>51</v>
      </c>
      <c r="D43" s="13" t="s">
        <v>23</v>
      </c>
      <c r="E43" s="14">
        <v>60</v>
      </c>
      <c r="F43" s="4">
        <v>545</v>
      </c>
      <c r="G43" s="6">
        <f t="shared" si="0"/>
        <v>60</v>
      </c>
      <c r="H43" s="40"/>
      <c r="I43" s="40"/>
      <c r="J43" s="78"/>
      <c r="K43" s="78"/>
      <c r="L43" s="78"/>
      <c r="M43" s="78"/>
      <c r="N43" s="60"/>
      <c r="O43" s="79"/>
      <c r="P43" s="80"/>
      <c r="Q43" s="40"/>
      <c r="R43" s="40"/>
      <c r="S43" s="78"/>
      <c r="T43" s="78"/>
      <c r="U43" s="78"/>
      <c r="V43" s="78"/>
      <c r="W43" s="78"/>
      <c r="X43" s="78"/>
      <c r="Y43" s="78"/>
      <c r="Z43" s="98">
        <v>3</v>
      </c>
      <c r="AA43" s="98">
        <v>3</v>
      </c>
      <c r="AB43" s="98">
        <v>3</v>
      </c>
      <c r="AC43" s="98">
        <v>3</v>
      </c>
      <c r="AD43" s="98">
        <v>3</v>
      </c>
      <c r="AE43" s="98">
        <v>3</v>
      </c>
      <c r="AF43" s="78"/>
      <c r="AG43" s="98">
        <v>3</v>
      </c>
      <c r="AH43" s="98">
        <v>3</v>
      </c>
      <c r="AI43" s="98">
        <v>2</v>
      </c>
      <c r="AJ43" s="98">
        <v>4</v>
      </c>
      <c r="AK43" s="98">
        <v>4</v>
      </c>
      <c r="AL43" s="78">
        <v>4</v>
      </c>
      <c r="AM43" s="78"/>
      <c r="AN43" s="98">
        <v>4</v>
      </c>
      <c r="AO43" s="98">
        <v>4</v>
      </c>
      <c r="AP43" s="98">
        <v>4</v>
      </c>
      <c r="AQ43" s="98">
        <v>4</v>
      </c>
      <c r="AR43" s="98">
        <v>4</v>
      </c>
      <c r="AS43" s="98">
        <v>2</v>
      </c>
      <c r="AT43" s="79"/>
      <c r="AU43" s="80"/>
      <c r="AV43" s="40"/>
      <c r="AW43" s="40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</row>
    <row r="44" spans="1:76" ht="15" customHeight="1" x14ac:dyDescent="0.25">
      <c r="A44" s="7">
        <v>43</v>
      </c>
      <c r="B44" s="139"/>
      <c r="C44" s="7" t="s">
        <v>52</v>
      </c>
      <c r="D44" s="16" t="s">
        <v>23</v>
      </c>
      <c r="E44" s="17">
        <v>60</v>
      </c>
      <c r="F44" s="7">
        <v>538</v>
      </c>
      <c r="G44" s="6">
        <f t="shared" si="0"/>
        <v>60</v>
      </c>
      <c r="H44" s="9"/>
      <c r="I44" s="9"/>
      <c r="J44" s="64"/>
      <c r="K44" s="64"/>
      <c r="L44" s="64"/>
      <c r="M44" s="64"/>
      <c r="N44" s="65"/>
      <c r="O44" s="74"/>
      <c r="P44" s="63"/>
      <c r="Q44" s="9"/>
      <c r="R44" s="9"/>
      <c r="S44" s="64"/>
      <c r="T44" s="64"/>
      <c r="U44" s="64"/>
      <c r="V44" s="64"/>
      <c r="W44" s="64"/>
      <c r="X44" s="64"/>
      <c r="Y44" s="64"/>
      <c r="Z44" s="98">
        <v>3</v>
      </c>
      <c r="AA44" s="98">
        <v>3</v>
      </c>
      <c r="AB44" s="98">
        <v>3</v>
      </c>
      <c r="AC44" s="98">
        <v>3</v>
      </c>
      <c r="AD44" s="98">
        <v>3</v>
      </c>
      <c r="AE44" s="98">
        <v>3</v>
      </c>
      <c r="AF44" s="78"/>
      <c r="AG44" s="98">
        <v>3</v>
      </c>
      <c r="AH44" s="98">
        <v>3</v>
      </c>
      <c r="AI44" s="98">
        <v>3</v>
      </c>
      <c r="AJ44" s="98">
        <v>4</v>
      </c>
      <c r="AK44" s="98">
        <v>4</v>
      </c>
      <c r="AL44" s="78">
        <v>4</v>
      </c>
      <c r="AM44" s="78"/>
      <c r="AN44" s="98">
        <v>4</v>
      </c>
      <c r="AO44" s="98">
        <v>4</v>
      </c>
      <c r="AP44" s="98">
        <v>3</v>
      </c>
      <c r="AQ44" s="98">
        <v>4</v>
      </c>
      <c r="AR44" s="98">
        <v>4</v>
      </c>
      <c r="AS44" s="98">
        <v>2</v>
      </c>
      <c r="AT44" s="74"/>
      <c r="AU44" s="63"/>
      <c r="AV44" s="9"/>
      <c r="AW44" s="9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</row>
    <row r="45" spans="1:76" ht="15" customHeight="1" x14ac:dyDescent="0.25">
      <c r="A45" s="7">
        <v>44</v>
      </c>
      <c r="B45" s="139"/>
      <c r="C45" s="7" t="s">
        <v>53</v>
      </c>
      <c r="D45" s="16" t="s">
        <v>23</v>
      </c>
      <c r="E45" s="17">
        <v>30</v>
      </c>
      <c r="F45" s="7">
        <v>908</v>
      </c>
      <c r="G45" s="6">
        <f t="shared" si="0"/>
        <v>30</v>
      </c>
      <c r="H45" s="9"/>
      <c r="I45" s="9"/>
      <c r="J45" s="64"/>
      <c r="K45" s="64"/>
      <c r="L45" s="64"/>
      <c r="M45" s="64"/>
      <c r="N45" s="65"/>
      <c r="O45" s="74"/>
      <c r="P45" s="63"/>
      <c r="Q45" s="9"/>
      <c r="R45" s="9"/>
      <c r="S45" s="64"/>
      <c r="T45" s="64"/>
      <c r="U45" s="64"/>
      <c r="V45" s="64"/>
      <c r="W45" s="64"/>
      <c r="X45" s="64"/>
      <c r="Y45" s="64"/>
      <c r="Z45" s="92">
        <v>1</v>
      </c>
      <c r="AA45" s="92">
        <v>1</v>
      </c>
      <c r="AB45" s="92">
        <v>1</v>
      </c>
      <c r="AC45" s="92">
        <v>1</v>
      </c>
      <c r="AD45" s="92">
        <v>1</v>
      </c>
      <c r="AE45" s="92">
        <v>1</v>
      </c>
      <c r="AF45" s="64"/>
      <c r="AG45" s="92">
        <v>1</v>
      </c>
      <c r="AH45" s="92">
        <v>1</v>
      </c>
      <c r="AI45" s="92">
        <v>1</v>
      </c>
      <c r="AJ45" s="92">
        <v>1</v>
      </c>
      <c r="AK45" s="92">
        <v>1</v>
      </c>
      <c r="AL45" s="64">
        <v>1</v>
      </c>
      <c r="AM45" s="64"/>
      <c r="AN45" s="92">
        <v>2</v>
      </c>
      <c r="AO45" s="92">
        <v>2</v>
      </c>
      <c r="AP45" s="92">
        <v>2</v>
      </c>
      <c r="AQ45" s="92">
        <v>2</v>
      </c>
      <c r="AR45" s="92">
        <v>2</v>
      </c>
      <c r="AS45" s="92">
        <v>2</v>
      </c>
      <c r="AT45" s="74"/>
      <c r="AU45" s="63">
        <v>2</v>
      </c>
      <c r="AV45" s="9">
        <v>2</v>
      </c>
      <c r="AW45" s="9">
        <v>2</v>
      </c>
      <c r="AX45" s="101"/>
      <c r="AY45" s="101"/>
      <c r="AZ45" s="101"/>
      <c r="BA45" s="101"/>
      <c r="BB45" s="101"/>
      <c r="BC45" s="101"/>
      <c r="BD45" s="101"/>
      <c r="BE45" s="101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</row>
    <row r="46" spans="1:76" ht="15" customHeight="1" x14ac:dyDescent="0.25">
      <c r="A46" s="7">
        <v>45</v>
      </c>
      <c r="B46" s="139"/>
      <c r="C46" s="7" t="s">
        <v>54</v>
      </c>
      <c r="D46" s="16" t="s">
        <v>23</v>
      </c>
      <c r="E46" s="17">
        <v>30</v>
      </c>
      <c r="F46" s="7">
        <v>452</v>
      </c>
      <c r="G46" s="6">
        <f t="shared" si="0"/>
        <v>30</v>
      </c>
      <c r="H46" s="9"/>
      <c r="I46" s="9"/>
      <c r="J46" s="64"/>
      <c r="K46" s="64"/>
      <c r="L46" s="64"/>
      <c r="M46" s="64"/>
      <c r="N46" s="65"/>
      <c r="O46" s="74"/>
      <c r="P46" s="63"/>
      <c r="Q46" s="9"/>
      <c r="R46" s="9"/>
      <c r="S46" s="64"/>
      <c r="T46" s="64"/>
      <c r="U46" s="64"/>
      <c r="V46" s="64"/>
      <c r="W46" s="64"/>
      <c r="X46" s="64"/>
      <c r="Y46" s="64"/>
      <c r="Z46" s="92">
        <v>1</v>
      </c>
      <c r="AA46" s="92">
        <v>1</v>
      </c>
      <c r="AB46" s="92">
        <v>1</v>
      </c>
      <c r="AC46" s="92">
        <v>1</v>
      </c>
      <c r="AD46" s="92">
        <v>1</v>
      </c>
      <c r="AE46" s="92">
        <v>1</v>
      </c>
      <c r="AF46" s="64"/>
      <c r="AG46" s="92">
        <v>1</v>
      </c>
      <c r="AH46" s="92">
        <v>1</v>
      </c>
      <c r="AI46" s="92">
        <v>2</v>
      </c>
      <c r="AJ46" s="92">
        <v>1</v>
      </c>
      <c r="AK46" s="92">
        <v>1</v>
      </c>
      <c r="AL46" s="64">
        <v>1</v>
      </c>
      <c r="AM46" s="64"/>
      <c r="AN46" s="92">
        <v>2</v>
      </c>
      <c r="AO46" s="92">
        <v>2</v>
      </c>
      <c r="AP46" s="92">
        <v>2</v>
      </c>
      <c r="AQ46" s="92">
        <v>2</v>
      </c>
      <c r="AR46" s="92">
        <v>2</v>
      </c>
      <c r="AS46" s="92">
        <v>2</v>
      </c>
      <c r="AT46" s="74"/>
      <c r="AU46" s="63">
        <v>2</v>
      </c>
      <c r="AV46" s="9">
        <v>2</v>
      </c>
      <c r="AW46" s="9">
        <v>1</v>
      </c>
      <c r="AX46" s="101"/>
      <c r="AY46" s="101"/>
      <c r="AZ46" s="101"/>
      <c r="BA46" s="101"/>
      <c r="BB46" s="101"/>
      <c r="BC46" s="101"/>
      <c r="BD46" s="101"/>
      <c r="BE46" s="101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</row>
    <row r="47" spans="1:76" ht="15" customHeight="1" x14ac:dyDescent="0.25">
      <c r="A47" s="7">
        <v>46</v>
      </c>
      <c r="B47" s="139"/>
      <c r="C47" s="7" t="s">
        <v>55</v>
      </c>
      <c r="D47" s="16" t="s">
        <v>23</v>
      </c>
      <c r="E47" s="17">
        <v>30</v>
      </c>
      <c r="F47" s="7">
        <v>660</v>
      </c>
      <c r="G47" s="6">
        <f t="shared" si="0"/>
        <v>30</v>
      </c>
      <c r="H47" s="9"/>
      <c r="I47" s="9"/>
      <c r="J47" s="64"/>
      <c r="K47" s="64"/>
      <c r="L47" s="64"/>
      <c r="M47" s="64"/>
      <c r="N47" s="65"/>
      <c r="O47" s="74"/>
      <c r="P47" s="63"/>
      <c r="Q47" s="9"/>
      <c r="R47" s="9"/>
      <c r="S47" s="64"/>
      <c r="T47" s="64"/>
      <c r="U47" s="64"/>
      <c r="V47" s="64"/>
      <c r="W47" s="64"/>
      <c r="X47" s="64"/>
      <c r="Y47" s="64"/>
      <c r="Z47" s="92">
        <v>1</v>
      </c>
      <c r="AA47" s="92">
        <v>1</v>
      </c>
      <c r="AB47" s="92">
        <v>1</v>
      </c>
      <c r="AC47" s="92">
        <v>1</v>
      </c>
      <c r="AD47" s="92">
        <v>1</v>
      </c>
      <c r="AE47" s="92">
        <v>1</v>
      </c>
      <c r="AF47" s="64"/>
      <c r="AG47" s="92">
        <v>1</v>
      </c>
      <c r="AH47" s="92">
        <v>1</v>
      </c>
      <c r="AI47" s="92">
        <v>1</v>
      </c>
      <c r="AJ47" s="92">
        <v>1</v>
      </c>
      <c r="AK47" s="92">
        <v>1</v>
      </c>
      <c r="AL47" s="64">
        <v>1</v>
      </c>
      <c r="AM47" s="64"/>
      <c r="AN47" s="92">
        <v>2</v>
      </c>
      <c r="AO47" s="92">
        <v>2</v>
      </c>
      <c r="AP47" s="92">
        <v>2</v>
      </c>
      <c r="AQ47" s="92">
        <v>2</v>
      </c>
      <c r="AR47" s="92">
        <v>2</v>
      </c>
      <c r="AS47" s="92">
        <v>2</v>
      </c>
      <c r="AT47" s="74"/>
      <c r="AU47" s="63">
        <v>2</v>
      </c>
      <c r="AV47" s="9">
        <v>2</v>
      </c>
      <c r="AW47" s="9">
        <v>2</v>
      </c>
      <c r="AX47" s="101"/>
      <c r="AY47" s="101"/>
      <c r="AZ47" s="101"/>
      <c r="BA47" s="101"/>
      <c r="BB47" s="101"/>
      <c r="BC47" s="101"/>
      <c r="BD47" s="101"/>
      <c r="BE47" s="101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</row>
    <row r="48" spans="1:76" ht="15" customHeight="1" x14ac:dyDescent="0.25">
      <c r="A48" s="7">
        <v>47</v>
      </c>
      <c r="B48" s="139"/>
      <c r="C48" s="7" t="s">
        <v>56</v>
      </c>
      <c r="D48" s="16" t="s">
        <v>23</v>
      </c>
      <c r="E48" s="17">
        <v>60</v>
      </c>
      <c r="F48" s="7">
        <v>347</v>
      </c>
      <c r="G48" s="6">
        <f t="shared" si="0"/>
        <v>60</v>
      </c>
      <c r="H48" s="9"/>
      <c r="I48" s="9"/>
      <c r="J48" s="64"/>
      <c r="K48" s="64"/>
      <c r="L48" s="64"/>
      <c r="M48" s="64"/>
      <c r="N48" s="65"/>
      <c r="O48" s="74"/>
      <c r="P48" s="63"/>
      <c r="Q48" s="9"/>
      <c r="R48" s="9"/>
      <c r="S48" s="64"/>
      <c r="T48" s="64"/>
      <c r="U48" s="64"/>
      <c r="V48" s="64"/>
      <c r="W48" s="64"/>
      <c r="X48" s="64"/>
      <c r="Y48" s="64"/>
      <c r="Z48" s="92">
        <v>2</v>
      </c>
      <c r="AA48" s="92">
        <v>2</v>
      </c>
      <c r="AB48" s="92">
        <v>2</v>
      </c>
      <c r="AC48" s="92">
        <v>2</v>
      </c>
      <c r="AD48" s="92">
        <v>2</v>
      </c>
      <c r="AE48" s="92">
        <v>2</v>
      </c>
      <c r="AF48" s="64"/>
      <c r="AG48" s="92">
        <v>2</v>
      </c>
      <c r="AH48" s="92">
        <v>2</v>
      </c>
      <c r="AI48" s="92">
        <v>2</v>
      </c>
      <c r="AJ48" s="92">
        <v>4</v>
      </c>
      <c r="AK48" s="92">
        <v>4</v>
      </c>
      <c r="AL48" s="64">
        <v>4</v>
      </c>
      <c r="AM48" s="64"/>
      <c r="AN48" s="92">
        <v>4</v>
      </c>
      <c r="AO48" s="92">
        <v>4</v>
      </c>
      <c r="AP48" s="92">
        <v>4</v>
      </c>
      <c r="AQ48" s="92">
        <v>4</v>
      </c>
      <c r="AR48" s="92">
        <v>4</v>
      </c>
      <c r="AS48" s="92">
        <v>4</v>
      </c>
      <c r="AT48" s="74"/>
      <c r="AU48" s="63">
        <v>4</v>
      </c>
      <c r="AV48" s="9">
        <v>2</v>
      </c>
      <c r="AW48" s="9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</row>
    <row r="49" spans="1:76" ht="15" customHeight="1" x14ac:dyDescent="0.25">
      <c r="A49" s="10">
        <v>48</v>
      </c>
      <c r="B49" s="140"/>
      <c r="C49" s="10" t="s">
        <v>57</v>
      </c>
      <c r="D49" s="37" t="s">
        <v>23</v>
      </c>
      <c r="E49" s="38">
        <v>60</v>
      </c>
      <c r="F49" s="10">
        <v>396</v>
      </c>
      <c r="G49" s="6">
        <f t="shared" si="0"/>
        <v>60</v>
      </c>
      <c r="H49" s="39"/>
      <c r="I49" s="39"/>
      <c r="J49" s="75"/>
      <c r="K49" s="75"/>
      <c r="L49" s="75"/>
      <c r="M49" s="75"/>
      <c r="N49" s="76"/>
      <c r="O49" s="56"/>
      <c r="P49" s="77"/>
      <c r="Q49" s="39"/>
      <c r="R49" s="39"/>
      <c r="S49" s="75"/>
      <c r="T49" s="75"/>
      <c r="U49" s="75"/>
      <c r="V49" s="75"/>
      <c r="W49" s="75"/>
      <c r="X49" s="75"/>
      <c r="Y49" s="75"/>
      <c r="Z49" s="97">
        <v>2</v>
      </c>
      <c r="AA49" s="97">
        <v>2</v>
      </c>
      <c r="AB49" s="97">
        <v>2</v>
      </c>
      <c r="AC49" s="97">
        <v>2</v>
      </c>
      <c r="AD49" s="97">
        <v>2</v>
      </c>
      <c r="AE49" s="97">
        <v>2</v>
      </c>
      <c r="AF49" s="75"/>
      <c r="AG49" s="97">
        <v>2</v>
      </c>
      <c r="AH49" s="97">
        <v>2</v>
      </c>
      <c r="AI49" s="97">
        <v>2</v>
      </c>
      <c r="AJ49" s="97">
        <v>4</v>
      </c>
      <c r="AK49" s="97">
        <v>4</v>
      </c>
      <c r="AL49" s="75">
        <v>4</v>
      </c>
      <c r="AM49" s="75"/>
      <c r="AN49" s="97">
        <v>4</v>
      </c>
      <c r="AO49" s="97">
        <v>4</v>
      </c>
      <c r="AP49" s="97">
        <v>4</v>
      </c>
      <c r="AQ49" s="97">
        <v>4</v>
      </c>
      <c r="AR49" s="97">
        <v>4</v>
      </c>
      <c r="AS49" s="97">
        <v>4</v>
      </c>
      <c r="AT49" s="56"/>
      <c r="AU49" s="77">
        <v>4</v>
      </c>
      <c r="AV49" s="39">
        <v>2</v>
      </c>
      <c r="AW49" s="39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</row>
    <row r="50" spans="1:76" ht="15" customHeight="1" x14ac:dyDescent="0.25">
      <c r="A50" s="41">
        <v>49</v>
      </c>
      <c r="B50" s="42" t="s">
        <v>58</v>
      </c>
      <c r="C50" s="41" t="s">
        <v>59</v>
      </c>
      <c r="D50" s="43" t="s">
        <v>23</v>
      </c>
      <c r="E50" s="44">
        <v>3</v>
      </c>
      <c r="F50" s="41">
        <v>623</v>
      </c>
      <c r="G50" s="6">
        <f t="shared" si="0"/>
        <v>3</v>
      </c>
      <c r="H50" s="45"/>
      <c r="I50" s="45"/>
      <c r="J50" s="81"/>
      <c r="K50" s="81"/>
      <c r="L50" s="81"/>
      <c r="M50" s="81"/>
      <c r="N50" s="82"/>
      <c r="O50" s="83"/>
      <c r="P50" s="84"/>
      <c r="Q50" s="45"/>
      <c r="R50" s="45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99">
        <v>1</v>
      </c>
      <c r="AH50" s="99">
        <v>1</v>
      </c>
      <c r="AI50" s="99">
        <v>1</v>
      </c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3"/>
      <c r="AU50" s="84"/>
      <c r="AV50" s="45"/>
      <c r="AW50" s="45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</row>
    <row r="51" spans="1:76" ht="13.95" customHeight="1" x14ac:dyDescent="0.25">
      <c r="A51" s="4">
        <v>50</v>
      </c>
      <c r="B51" s="126" t="s">
        <v>60</v>
      </c>
      <c r="C51" s="47" t="s">
        <v>61</v>
      </c>
      <c r="D51" s="117">
        <v>10000</v>
      </c>
      <c r="E51" s="118"/>
      <c r="F51" s="119"/>
      <c r="G51" s="48"/>
      <c r="H51" s="49"/>
      <c r="I51" s="49"/>
      <c r="J51" s="49"/>
      <c r="K51" s="85"/>
      <c r="L51" s="49"/>
      <c r="M51" s="49"/>
      <c r="N51" s="46"/>
      <c r="O51" s="54"/>
      <c r="P51" s="48"/>
      <c r="Q51" s="49"/>
      <c r="R51" s="49"/>
      <c r="S51" s="49"/>
      <c r="T51" s="85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100"/>
      <c r="AO51" s="49"/>
      <c r="AP51" s="49"/>
      <c r="AQ51" s="49"/>
      <c r="AR51" s="49"/>
      <c r="AS51" s="49"/>
      <c r="AT51" s="54"/>
      <c r="AU51" s="48"/>
      <c r="AV51" s="49"/>
      <c r="AW51" s="49"/>
      <c r="AX51" s="49"/>
      <c r="AY51" s="85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</row>
    <row r="52" spans="1:76" ht="13.95" customHeight="1" x14ac:dyDescent="0.25">
      <c r="A52" s="7">
        <v>51</v>
      </c>
      <c r="B52" s="128"/>
      <c r="C52" s="7" t="s">
        <v>62</v>
      </c>
      <c r="D52" s="120">
        <v>60000</v>
      </c>
      <c r="E52" s="121"/>
      <c r="F52" s="122"/>
      <c r="G52" s="50"/>
      <c r="H52" s="51"/>
      <c r="I52" s="51"/>
      <c r="J52" s="51"/>
      <c r="K52" s="86"/>
      <c r="L52" s="51"/>
      <c r="M52" s="51"/>
      <c r="N52" s="17"/>
      <c r="O52" s="55"/>
      <c r="P52" s="50"/>
      <c r="Q52" s="51"/>
      <c r="R52" s="51"/>
      <c r="S52" s="51"/>
      <c r="T52" s="86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102"/>
      <c r="AP52" s="102"/>
      <c r="AQ52" s="51"/>
      <c r="AR52" s="51"/>
      <c r="AS52" s="51"/>
      <c r="AT52" s="55"/>
      <c r="AU52" s="50"/>
      <c r="AV52" s="51"/>
      <c r="AW52" s="51"/>
      <c r="AX52" s="51"/>
      <c r="AY52" s="86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</row>
    <row r="53" spans="1:76" ht="13.95" customHeight="1" x14ac:dyDescent="0.25">
      <c r="A53" s="10">
        <v>52</v>
      </c>
      <c r="B53" s="130"/>
      <c r="C53" s="10" t="s">
        <v>63</v>
      </c>
      <c r="D53" s="123">
        <v>25500</v>
      </c>
      <c r="E53" s="124"/>
      <c r="F53" s="125"/>
      <c r="G53" s="52"/>
      <c r="H53" s="53"/>
      <c r="I53" s="53"/>
      <c r="J53" s="53"/>
      <c r="K53" s="87"/>
      <c r="L53" s="53"/>
      <c r="M53" s="53"/>
      <c r="N53" s="38"/>
      <c r="O53" s="56"/>
      <c r="P53" s="52"/>
      <c r="Q53" s="53"/>
      <c r="R53" s="53"/>
      <c r="S53" s="53"/>
      <c r="T53" s="87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103"/>
      <c r="AR53" s="53"/>
      <c r="AS53" s="53"/>
      <c r="AT53" s="56"/>
      <c r="AU53" s="52"/>
      <c r="AV53" s="53"/>
      <c r="AW53" s="53"/>
      <c r="AX53" s="53"/>
      <c r="AY53" s="87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</row>
    <row r="54" spans="1:76" ht="13.95" customHeight="1" x14ac:dyDescent="0.25">
      <c r="A54" s="47">
        <v>53</v>
      </c>
      <c r="B54" s="126" t="s">
        <v>64</v>
      </c>
      <c r="C54" s="126"/>
      <c r="D54" s="126"/>
      <c r="E54" s="126"/>
      <c r="F54" s="127"/>
      <c r="G54" s="48"/>
      <c r="H54" s="49"/>
      <c r="I54" s="85"/>
      <c r="J54" s="49"/>
      <c r="K54" s="49"/>
      <c r="L54" s="88"/>
      <c r="M54" s="49"/>
      <c r="N54" s="46"/>
      <c r="O54" s="54"/>
      <c r="P54" s="48"/>
      <c r="Q54" s="49"/>
      <c r="R54" s="85"/>
      <c r="S54" s="49"/>
      <c r="T54" s="49"/>
      <c r="U54" s="88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104"/>
      <c r="AR54" s="104"/>
      <c r="AS54" s="104"/>
      <c r="AT54" s="105"/>
      <c r="AU54" s="106"/>
      <c r="AV54" s="104"/>
      <c r="AW54" s="107"/>
      <c r="AX54" s="104"/>
      <c r="AY54" s="104"/>
      <c r="AZ54" s="108"/>
      <c r="BA54" s="104"/>
      <c r="BB54" s="104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</row>
    <row r="55" spans="1:76" ht="13.95" customHeight="1" x14ac:dyDescent="0.25">
      <c r="A55" s="7">
        <v>54</v>
      </c>
      <c r="B55" s="128" t="s">
        <v>65</v>
      </c>
      <c r="C55" s="128"/>
      <c r="D55" s="128"/>
      <c r="E55" s="128"/>
      <c r="F55" s="129"/>
      <c r="G55" s="50"/>
      <c r="H55" s="51"/>
      <c r="I55" s="86"/>
      <c r="J55" s="51"/>
      <c r="K55" s="51"/>
      <c r="L55" s="51"/>
      <c r="M55" s="49"/>
      <c r="N55" s="46"/>
      <c r="O55" s="54"/>
      <c r="P55" s="50"/>
      <c r="Q55" s="51"/>
      <c r="R55" s="86"/>
      <c r="S55" s="51"/>
      <c r="T55" s="51"/>
      <c r="U55" s="51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54"/>
      <c r="AU55" s="50"/>
      <c r="AV55" s="51"/>
      <c r="AW55" s="86"/>
      <c r="AX55" s="51"/>
      <c r="AY55" s="51"/>
      <c r="AZ55" s="51"/>
      <c r="BA55" s="49"/>
      <c r="BB55" s="49"/>
      <c r="BC55" s="10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</row>
    <row r="56" spans="1:76" ht="13.95" customHeight="1" x14ac:dyDescent="0.25">
      <c r="A56" s="7">
        <v>55</v>
      </c>
      <c r="B56" s="128" t="s">
        <v>66</v>
      </c>
      <c r="C56" s="128"/>
      <c r="D56" s="128"/>
      <c r="E56" s="128"/>
      <c r="F56" s="129"/>
      <c r="G56" s="50"/>
      <c r="H56" s="51"/>
      <c r="I56" s="51"/>
      <c r="J56" s="51"/>
      <c r="K56" s="51"/>
      <c r="L56" s="51"/>
      <c r="M56" s="51"/>
      <c r="N56" s="17"/>
      <c r="O56" s="55"/>
      <c r="P56" s="50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5"/>
      <c r="AU56" s="50"/>
      <c r="AV56" s="51"/>
      <c r="AW56" s="51"/>
      <c r="AX56" s="51"/>
      <c r="AY56" s="51"/>
      <c r="AZ56" s="51"/>
      <c r="BA56" s="51"/>
      <c r="BB56" s="51"/>
      <c r="BC56" s="51"/>
      <c r="BD56" s="110"/>
      <c r="BE56" s="110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</row>
    <row r="57" spans="1:76" ht="13.95" customHeight="1" x14ac:dyDescent="0.25">
      <c r="A57" s="10">
        <v>56</v>
      </c>
      <c r="B57" s="130" t="s">
        <v>67</v>
      </c>
      <c r="C57" s="130"/>
      <c r="D57" s="130"/>
      <c r="E57" s="130"/>
      <c r="F57" s="131"/>
      <c r="G57" s="52"/>
      <c r="H57" s="53"/>
      <c r="I57" s="53"/>
      <c r="J57" s="53"/>
      <c r="K57" s="53"/>
      <c r="L57" s="53"/>
      <c r="M57" s="53"/>
      <c r="N57" s="38"/>
      <c r="O57" s="56"/>
      <c r="P57" s="52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6"/>
      <c r="AU57" s="52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111"/>
      <c r="BG57" s="111"/>
      <c r="BH57" s="111"/>
      <c r="BI57" s="111"/>
      <c r="BJ57" s="111"/>
      <c r="BK57" s="111"/>
      <c r="BL57" s="111"/>
      <c r="BM57" s="111"/>
      <c r="BN57" s="111"/>
      <c r="BO57" s="53"/>
      <c r="BP57" s="53"/>
      <c r="BQ57" s="53"/>
      <c r="BR57" s="53"/>
      <c r="BS57" s="53"/>
      <c r="BT57" s="53"/>
      <c r="BU57" s="53"/>
      <c r="BV57" s="53"/>
      <c r="BW57" s="53"/>
      <c r="BX57" s="53"/>
    </row>
    <row r="58" spans="1:76" ht="27" customHeight="1" x14ac:dyDescent="0.25">
      <c r="D58" s="57" t="s">
        <v>68</v>
      </c>
      <c r="E58" s="57" t="s">
        <v>69</v>
      </c>
      <c r="F58" s="57"/>
      <c r="M58" s="89"/>
      <c r="N58" s="89"/>
      <c r="O58" s="89"/>
      <c r="R58" s="132" t="s">
        <v>70</v>
      </c>
      <c r="S58" s="132"/>
      <c r="T58" s="132"/>
      <c r="U58" s="132"/>
      <c r="V58" s="132"/>
      <c r="W58" s="132"/>
      <c r="AT58" s="89"/>
    </row>
  </sheetData>
  <mergeCells count="22">
    <mergeCell ref="B57:F57"/>
    <mergeCell ref="R58:W58"/>
    <mergeCell ref="A2:A3"/>
    <mergeCell ref="B4:B15"/>
    <mergeCell ref="B16:B42"/>
    <mergeCell ref="B43:B49"/>
    <mergeCell ref="B51:B53"/>
    <mergeCell ref="D2:D3"/>
    <mergeCell ref="E2:E3"/>
    <mergeCell ref="F2:F3"/>
    <mergeCell ref="B2:C3"/>
    <mergeCell ref="H4:O11"/>
    <mergeCell ref="D52:F52"/>
    <mergeCell ref="D53:F53"/>
    <mergeCell ref="B54:F54"/>
    <mergeCell ref="B55:F55"/>
    <mergeCell ref="B56:F56"/>
    <mergeCell ref="A1:AT1"/>
    <mergeCell ref="G2:O2"/>
    <mergeCell ref="P2:AT2"/>
    <mergeCell ref="AU2:BX2"/>
    <mergeCell ref="D51:F51"/>
  </mergeCells>
  <phoneticPr fontId="10" type="noConversion"/>
  <printOptions horizontalCentered="1"/>
  <pageMargins left="0.16875000000000001" right="0.20833333333333301" top="0.39305555555555599" bottom="0.25972222222222202" header="0.18888888888888899" footer="0.16111111111111101"/>
  <pageSetup paperSize="8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李东</dc:creator>
  <cp:lastModifiedBy>赵晨曦 张</cp:lastModifiedBy>
  <cp:lastPrinted>2020-01-06T06:21:00Z</cp:lastPrinted>
  <dcterms:created xsi:type="dcterms:W3CDTF">2018-03-05T03:50:00Z</dcterms:created>
  <dcterms:modified xsi:type="dcterms:W3CDTF">2025-12-04T13:24:24Z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KSOReadingLayout">
    <vt:bool>true</vt:bool>
  </property>
  <property fmtid="{D5CDD505-2E9C-101B-9397-08002B2CF9AE}" pid="4" name="ICV">
    <vt:lpwstr>3E37733353BF4A6D86933B2B6513029D_13</vt:lpwstr>
  </property>
</Properties>
</file>